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dev\aed-challenge\http\"/>
    </mc:Choice>
  </mc:AlternateContent>
  <xr:revisionPtr revIDLastSave="0" documentId="13_ncr:1_{7AF21AF1-A54C-45BE-9940-CFDF24430DF0}" xr6:coauthVersionLast="34" xr6:coauthVersionMax="34" xr10:uidLastSave="{00000000-0000-0000-0000-000000000000}"/>
  <bookViews>
    <workbookView xWindow="1488" yWindow="0" windowWidth="29208" windowHeight="13968" activeTab="1" xr2:uid="{00000000-000D-0000-FFFF-FFFF00000000}"/>
  </bookViews>
  <sheets>
    <sheet name="Model" sheetId="3" r:id="rId1"/>
    <sheet name="Export" sheetId="4" r:id="rId2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5" i="3" l="1"/>
  <c r="BC4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R14" i="3"/>
  <c r="AS14" i="3"/>
  <c r="AR15" i="3"/>
  <c r="AS15" i="3"/>
  <c r="AR16" i="3"/>
  <c r="AS16" i="3"/>
  <c r="AR17" i="3"/>
  <c r="AS17" i="3"/>
  <c r="AR18" i="3"/>
  <c r="AS18" i="3"/>
  <c r="AR19" i="3"/>
  <c r="AS19" i="3"/>
  <c r="AR20" i="3"/>
  <c r="AS20" i="3"/>
  <c r="AR21" i="3"/>
  <c r="AS21" i="3"/>
  <c r="AR22" i="3"/>
  <c r="AS22" i="3"/>
  <c r="AR23" i="3"/>
  <c r="AS23" i="3"/>
  <c r="AR24" i="3"/>
  <c r="AS24" i="3"/>
  <c r="AR25" i="3"/>
  <c r="AS25" i="3"/>
  <c r="AR26" i="3"/>
  <c r="AS26" i="3"/>
  <c r="AR27" i="3"/>
  <c r="AS27" i="3"/>
  <c r="AR28" i="3"/>
  <c r="AS28" i="3"/>
  <c r="AR29" i="3"/>
  <c r="AS29" i="3"/>
  <c r="AR30" i="3"/>
  <c r="AS30" i="3"/>
  <c r="AR31" i="3"/>
  <c r="AS31" i="3"/>
  <c r="AR32" i="3"/>
  <c r="AS32" i="3"/>
  <c r="AR33" i="3"/>
  <c r="AS33" i="3"/>
  <c r="AR34" i="3"/>
  <c r="AS34" i="3"/>
  <c r="AR35" i="3"/>
  <c r="AS35" i="3"/>
  <c r="AR36" i="3"/>
  <c r="AS36" i="3"/>
  <c r="AR37" i="3"/>
  <c r="AS37" i="3"/>
  <c r="AR38" i="3"/>
  <c r="AS38" i="3"/>
  <c r="AR39" i="3"/>
  <c r="AS39" i="3"/>
  <c r="AR40" i="3"/>
  <c r="AS40" i="3"/>
  <c r="AR41" i="3"/>
  <c r="AS41" i="3"/>
  <c r="AR42" i="3"/>
  <c r="AS42" i="3"/>
  <c r="AR43" i="3"/>
  <c r="AS43" i="3"/>
  <c r="AR44" i="3"/>
  <c r="AS44" i="3"/>
  <c r="AR45" i="3"/>
  <c r="AS45" i="3"/>
  <c r="AR46" i="3"/>
  <c r="AS46" i="3"/>
  <c r="AR47" i="3"/>
  <c r="AS47" i="3"/>
  <c r="AR48" i="3"/>
  <c r="AS48" i="3"/>
  <c r="AR49" i="3"/>
  <c r="AS49" i="3"/>
  <c r="AR50" i="3"/>
  <c r="AS50" i="3"/>
  <c r="AR51" i="3"/>
  <c r="AS51" i="3"/>
  <c r="AR52" i="3"/>
  <c r="AS52" i="3"/>
  <c r="AS13" i="3"/>
  <c r="AR13" i="3"/>
  <c r="AT32" i="3"/>
  <c r="AT31" i="3"/>
  <c r="AT30" i="3"/>
  <c r="AT29" i="3"/>
  <c r="AT28" i="3"/>
  <c r="AT27" i="3"/>
  <c r="AT26" i="3"/>
  <c r="AT25" i="3"/>
  <c r="AT24" i="3"/>
  <c r="AT23" i="3"/>
  <c r="AT22" i="3"/>
  <c r="AT21" i="3"/>
  <c r="AT20" i="3"/>
  <c r="AT19" i="3"/>
  <c r="AT18" i="3"/>
  <c r="AT17" i="3"/>
  <c r="AT16" i="3"/>
  <c r="AT15" i="3"/>
  <c r="AT14" i="3"/>
  <c r="AT13" i="3"/>
  <c r="AT12" i="3"/>
  <c r="AS12" i="3"/>
  <c r="AR12" i="3"/>
  <c r="AT11" i="3"/>
  <c r="AS11" i="3"/>
  <c r="AR11" i="3"/>
  <c r="AT10" i="3"/>
  <c r="AS10" i="3"/>
  <c r="AR10" i="3"/>
  <c r="AT9" i="3"/>
  <c r="AS9" i="3"/>
  <c r="AR9" i="3"/>
  <c r="AT8" i="3"/>
  <c r="AS8" i="3"/>
  <c r="AR8" i="3"/>
  <c r="AT7" i="3"/>
  <c r="AS7" i="3"/>
  <c r="AR7" i="3"/>
  <c r="AT6" i="3"/>
  <c r="AS6" i="3"/>
  <c r="AR6" i="3"/>
  <c r="AT5" i="3"/>
  <c r="AS5" i="3"/>
  <c r="AR5" i="3"/>
  <c r="AT4" i="3"/>
  <c r="AS4" i="3"/>
  <c r="AR4" i="3"/>
  <c r="AT3" i="3"/>
  <c r="AS3" i="3"/>
  <c r="AR3" i="3"/>
  <c r="AU52" i="3" l="1"/>
  <c r="AU50" i="3"/>
  <c r="AU48" i="3"/>
  <c r="AU46" i="3"/>
  <c r="AU44" i="3"/>
  <c r="AU42" i="3"/>
  <c r="AU40" i="3"/>
  <c r="AU38" i="3"/>
  <c r="AU36" i="3"/>
  <c r="AU34" i="3"/>
  <c r="AU51" i="3"/>
  <c r="AU49" i="3"/>
  <c r="AU47" i="3"/>
  <c r="AU45" i="3"/>
  <c r="AU43" i="3"/>
  <c r="AU41" i="3"/>
  <c r="AU39" i="3"/>
  <c r="AU37" i="3"/>
  <c r="AU35" i="3"/>
  <c r="AU33" i="3"/>
  <c r="AU10" i="3"/>
  <c r="AU4" i="3"/>
  <c r="AU13" i="3"/>
  <c r="AU21" i="3"/>
  <c r="AU12" i="3"/>
  <c r="AU25" i="3"/>
  <c r="AU29" i="3"/>
  <c r="AU17" i="3"/>
  <c r="AU9" i="3"/>
  <c r="AU8" i="3"/>
  <c r="AU19" i="3"/>
  <c r="AU27" i="3"/>
  <c r="AU6" i="3"/>
  <c r="AU15" i="3"/>
  <c r="AU23" i="3"/>
  <c r="AU31" i="3"/>
  <c r="AU7" i="3"/>
  <c r="AU16" i="3"/>
  <c r="AU20" i="3"/>
  <c r="AU24" i="3"/>
  <c r="AU28" i="3"/>
  <c r="AU32" i="3"/>
  <c r="AU5" i="3"/>
  <c r="AU3" i="3"/>
  <c r="AU11" i="3"/>
  <c r="AU14" i="3"/>
  <c r="AU18" i="3"/>
  <c r="AU22" i="3"/>
  <c r="AU26" i="3"/>
  <c r="AU30" i="3"/>
  <c r="AH4" i="3" l="1"/>
  <c r="AI4" i="3"/>
  <c r="AH5" i="3"/>
  <c r="AI5" i="3"/>
  <c r="AH6" i="3"/>
  <c r="AI6" i="3"/>
  <c r="AH7" i="3"/>
  <c r="AI7" i="3"/>
  <c r="AH8" i="3"/>
  <c r="AI8" i="3"/>
  <c r="AH9" i="3"/>
  <c r="AI9" i="3"/>
  <c r="AH10" i="3"/>
  <c r="AI10" i="3"/>
  <c r="AH11" i="3"/>
  <c r="AI11" i="3"/>
  <c r="AH12" i="3"/>
  <c r="AI12" i="3"/>
  <c r="AH13" i="3"/>
  <c r="AI13" i="3"/>
  <c r="AH14" i="3"/>
  <c r="AI14" i="3"/>
  <c r="AH15" i="3"/>
  <c r="AI15" i="3"/>
  <c r="AH16" i="3"/>
  <c r="AI16" i="3"/>
  <c r="AH17" i="3"/>
  <c r="AI17" i="3"/>
  <c r="AH18" i="3"/>
  <c r="AI18" i="3"/>
  <c r="AH19" i="3"/>
  <c r="AI19" i="3"/>
  <c r="AH20" i="3"/>
  <c r="AI20" i="3"/>
  <c r="AH21" i="3"/>
  <c r="AI21" i="3"/>
  <c r="AH22" i="3"/>
  <c r="AI22" i="3"/>
  <c r="AH23" i="3"/>
  <c r="AI23" i="3"/>
  <c r="AH24" i="3"/>
  <c r="AI24" i="3"/>
  <c r="AI3" i="3"/>
  <c r="AH3" i="3"/>
  <c r="AA4" i="3"/>
  <c r="AB4" i="3"/>
  <c r="AB3" i="3"/>
  <c r="AA3" i="3"/>
  <c r="I5" i="3" l="1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4" i="3"/>
  <c r="F4" i="3"/>
  <c r="F5" i="3"/>
  <c r="T32" i="3" l="1"/>
  <c r="S32" i="3"/>
  <c r="R32" i="3"/>
  <c r="T31" i="3"/>
  <c r="S31" i="3"/>
  <c r="R31" i="3"/>
  <c r="T30" i="3"/>
  <c r="S30" i="3"/>
  <c r="R30" i="3"/>
  <c r="T29" i="3"/>
  <c r="S29" i="3"/>
  <c r="R29" i="3"/>
  <c r="T28" i="3"/>
  <c r="S28" i="3"/>
  <c r="R28" i="3"/>
  <c r="T27" i="3"/>
  <c r="S27" i="3"/>
  <c r="R27" i="3"/>
  <c r="T26" i="3"/>
  <c r="S26" i="3"/>
  <c r="R26" i="3"/>
  <c r="T25" i="3"/>
  <c r="S25" i="3"/>
  <c r="R25" i="3"/>
  <c r="T24" i="3"/>
  <c r="S24" i="3"/>
  <c r="R24" i="3"/>
  <c r="T23" i="3"/>
  <c r="S23" i="3"/>
  <c r="R23" i="3"/>
  <c r="T22" i="3"/>
  <c r="S22" i="3"/>
  <c r="R22" i="3"/>
  <c r="T21" i="3"/>
  <c r="S21" i="3"/>
  <c r="R21" i="3"/>
  <c r="T20" i="3"/>
  <c r="S20" i="3"/>
  <c r="R20" i="3"/>
  <c r="T19" i="3"/>
  <c r="S19" i="3"/>
  <c r="R19" i="3"/>
  <c r="T18" i="3"/>
  <c r="S18" i="3"/>
  <c r="R18" i="3"/>
  <c r="T17" i="3"/>
  <c r="S17" i="3"/>
  <c r="R17" i="3"/>
  <c r="T16" i="3"/>
  <c r="S16" i="3"/>
  <c r="R16" i="3"/>
  <c r="T15" i="3"/>
  <c r="S15" i="3"/>
  <c r="R15" i="3"/>
  <c r="T14" i="3"/>
  <c r="S14" i="3"/>
  <c r="R14" i="3"/>
  <c r="T13" i="3"/>
  <c r="S13" i="3"/>
  <c r="R13" i="3"/>
  <c r="T12" i="3"/>
  <c r="S12" i="3"/>
  <c r="R12" i="3"/>
  <c r="T11" i="3"/>
  <c r="S11" i="3"/>
  <c r="R11" i="3"/>
  <c r="T10" i="3"/>
  <c r="S10" i="3"/>
  <c r="R10" i="3"/>
  <c r="T9" i="3"/>
  <c r="S9" i="3"/>
  <c r="R9" i="3"/>
  <c r="T8" i="3"/>
  <c r="S8" i="3"/>
  <c r="R8" i="3"/>
  <c r="B8" i="3"/>
  <c r="T7" i="3"/>
  <c r="S7" i="3"/>
  <c r="R7" i="3"/>
  <c r="B7" i="3"/>
  <c r="B36" i="3" s="1"/>
  <c r="T6" i="3"/>
  <c r="S6" i="3"/>
  <c r="R6" i="3"/>
  <c r="T5" i="3"/>
  <c r="S5" i="3"/>
  <c r="R5" i="3"/>
  <c r="T4" i="3"/>
  <c r="S4" i="3"/>
  <c r="R4" i="3"/>
  <c r="T3" i="3"/>
  <c r="S3" i="3"/>
  <c r="R3" i="3"/>
  <c r="L3" i="3"/>
  <c r="K3" i="3"/>
  <c r="BD5" i="3" l="1"/>
  <c r="BD4" i="3"/>
  <c r="AW3" i="3"/>
  <c r="AW16" i="3"/>
  <c r="AV16" i="3" s="1"/>
  <c r="AW20" i="3"/>
  <c r="AW24" i="3"/>
  <c r="AV24" i="3" s="1"/>
  <c r="AW28" i="3"/>
  <c r="AV28" i="3" s="1"/>
  <c r="AW32" i="3"/>
  <c r="AV32" i="3" s="1"/>
  <c r="AW36" i="3"/>
  <c r="AW40" i="3"/>
  <c r="AW44" i="3"/>
  <c r="AW48" i="3"/>
  <c r="AV48" i="3" s="1"/>
  <c r="AW52" i="3"/>
  <c r="AW5" i="3"/>
  <c r="AW9" i="3"/>
  <c r="AW13" i="3"/>
  <c r="AW50" i="3"/>
  <c r="AW34" i="3"/>
  <c r="AW18" i="3"/>
  <c r="AW12" i="3"/>
  <c r="AW47" i="3"/>
  <c r="AW39" i="3"/>
  <c r="AW31" i="3"/>
  <c r="AW23" i="3"/>
  <c r="AV23" i="3" s="1"/>
  <c r="AW15" i="3"/>
  <c r="AW46" i="3"/>
  <c r="AW30" i="3"/>
  <c r="AW14" i="3"/>
  <c r="AW45" i="3"/>
  <c r="AW37" i="3"/>
  <c r="AV37" i="3" s="1"/>
  <c r="AW29" i="3"/>
  <c r="AV29" i="3" s="1"/>
  <c r="AW21" i="3"/>
  <c r="AV21" i="3" s="1"/>
  <c r="AW7" i="3"/>
  <c r="AW6" i="3"/>
  <c r="AW42" i="3"/>
  <c r="AW26" i="3"/>
  <c r="AV26" i="3" s="1"/>
  <c r="AW4" i="3"/>
  <c r="AW51" i="3"/>
  <c r="AW43" i="3"/>
  <c r="AV43" i="3" s="1"/>
  <c r="AW35" i="3"/>
  <c r="AW27" i="3"/>
  <c r="AW19" i="3"/>
  <c r="AW11" i="3"/>
  <c r="AW10" i="3"/>
  <c r="AW38" i="3"/>
  <c r="AV38" i="3" s="1"/>
  <c r="AW22" i="3"/>
  <c r="AW8" i="3"/>
  <c r="AV8" i="3" s="1"/>
  <c r="AW49" i="3"/>
  <c r="AV49" i="3" s="1"/>
  <c r="AW41" i="3"/>
  <c r="AW33" i="3"/>
  <c r="AW25" i="3"/>
  <c r="AW17" i="3"/>
  <c r="A2" i="4"/>
  <c r="B2" i="4"/>
  <c r="AK9" i="3"/>
  <c r="AK13" i="3"/>
  <c r="AK17" i="3"/>
  <c r="AK21" i="3"/>
  <c r="AK10" i="3"/>
  <c r="AK14" i="3"/>
  <c r="AK18" i="3"/>
  <c r="AK22" i="3"/>
  <c r="AJ22" i="3" s="1"/>
  <c r="AK11" i="3"/>
  <c r="AK15" i="3"/>
  <c r="AK19" i="3"/>
  <c r="AK23" i="3"/>
  <c r="AK8" i="3"/>
  <c r="AK12" i="3"/>
  <c r="AK16" i="3"/>
  <c r="AK20" i="3"/>
  <c r="AJ20" i="3" s="1"/>
  <c r="AK24" i="3"/>
  <c r="AK3" i="3"/>
  <c r="AK4" i="3"/>
  <c r="AK6" i="3"/>
  <c r="AK7" i="3"/>
  <c r="AK5" i="3"/>
  <c r="U5" i="3"/>
  <c r="U11" i="3"/>
  <c r="U4" i="3"/>
  <c r="U10" i="3"/>
  <c r="U3" i="3"/>
  <c r="U9" i="3"/>
  <c r="U6" i="3"/>
  <c r="U7" i="3"/>
  <c r="U8" i="3"/>
  <c r="U12" i="3"/>
  <c r="M3" i="3"/>
  <c r="W11" i="3"/>
  <c r="U15" i="3"/>
  <c r="U19" i="3"/>
  <c r="U23" i="3"/>
  <c r="U24" i="3"/>
  <c r="U27" i="3"/>
  <c r="U28" i="3"/>
  <c r="U31" i="3"/>
  <c r="U32" i="3"/>
  <c r="U16" i="3"/>
  <c r="U18" i="3"/>
  <c r="U20" i="3"/>
  <c r="U26" i="3"/>
  <c r="U13" i="3"/>
  <c r="U14" i="3"/>
  <c r="U17" i="3"/>
  <c r="U21" i="3"/>
  <c r="U22" i="3"/>
  <c r="U25" i="3"/>
  <c r="U29" i="3"/>
  <c r="U30" i="3"/>
  <c r="W12" i="3"/>
  <c r="W16" i="3"/>
  <c r="W5" i="3"/>
  <c r="W4" i="3"/>
  <c r="W3" i="3"/>
  <c r="W7" i="3"/>
  <c r="W8" i="3"/>
  <c r="W13" i="3"/>
  <c r="W18" i="3"/>
  <c r="W20" i="3"/>
  <c r="W22" i="3"/>
  <c r="W25" i="3"/>
  <c r="W27" i="3"/>
  <c r="W15" i="3"/>
  <c r="W26" i="3"/>
  <c r="W9" i="3"/>
  <c r="W17" i="3"/>
  <c r="W19" i="3"/>
  <c r="W21" i="3"/>
  <c r="W23" i="3"/>
  <c r="W28" i="3"/>
  <c r="W32" i="3"/>
  <c r="W24" i="3"/>
  <c r="W6" i="3"/>
  <c r="W10" i="3"/>
  <c r="W14" i="3"/>
  <c r="W29" i="3"/>
  <c r="W30" i="3"/>
  <c r="W31" i="3"/>
  <c r="AV27" i="3"/>
  <c r="AV41" i="3"/>
  <c r="AV15" i="3"/>
  <c r="AV47" i="3"/>
  <c r="AV30" i="3"/>
  <c r="AV25" i="3"/>
  <c r="AV40" i="3"/>
  <c r="AV44" i="3"/>
  <c r="AV33" i="3"/>
  <c r="AV50" i="3"/>
  <c r="AV36" i="3"/>
  <c r="AV14" i="3"/>
  <c r="AV18" i="3"/>
  <c r="AV7" i="3"/>
  <c r="AV11" i="3"/>
  <c r="AV6" i="3"/>
  <c r="AJ21" i="3"/>
  <c r="AJ12" i="3"/>
  <c r="AV4" i="3"/>
  <c r="AV39" i="3"/>
  <c r="AV31" i="3"/>
  <c r="AV42" i="3"/>
  <c r="AV5" i="3"/>
  <c r="AV22" i="3"/>
  <c r="AV13" i="3"/>
  <c r="AJ9" i="3"/>
  <c r="AV17" i="3"/>
  <c r="AJ17" i="3"/>
  <c r="AV35" i="3"/>
  <c r="AJ7" i="3"/>
  <c r="AJ18" i="3"/>
  <c r="AV19" i="3"/>
  <c r="AJ3" i="3"/>
  <c r="AV46" i="3"/>
  <c r="AV34" i="3"/>
  <c r="AJ19" i="3"/>
  <c r="AJ14" i="3"/>
  <c r="AV12" i="3"/>
  <c r="AJ24" i="3"/>
  <c r="AJ23" i="3"/>
  <c r="AJ13" i="3"/>
  <c r="AJ16" i="3"/>
  <c r="AV51" i="3"/>
  <c r="AV45" i="3"/>
  <c r="AJ11" i="3"/>
  <c r="AV3" i="3"/>
  <c r="AV9" i="3"/>
  <c r="AV20" i="3"/>
  <c r="V7" i="3"/>
  <c r="V5" i="3"/>
  <c r="V6" i="3"/>
  <c r="AJ8" i="3"/>
  <c r="V3" i="3"/>
  <c r="V8" i="3"/>
  <c r="AJ6" i="3"/>
  <c r="V10" i="3"/>
  <c r="AJ10" i="3"/>
  <c r="AJ4" i="3"/>
  <c r="V11" i="3"/>
  <c r="AV10" i="3"/>
  <c r="V4" i="3"/>
  <c r="AV52" i="3"/>
  <c r="V9" i="3"/>
  <c r="V12" i="3"/>
  <c r="AC3" i="3"/>
  <c r="AJ5" i="3"/>
  <c r="AC4" i="3"/>
  <c r="AJ15" i="3"/>
  <c r="BE5" i="3" l="1"/>
  <c r="AZ5" i="3"/>
  <c r="BE4" i="3"/>
  <c r="AZ4" i="3"/>
  <c r="AX27" i="3"/>
  <c r="AX29" i="3"/>
  <c r="AX46" i="3"/>
  <c r="AX9" i="3"/>
  <c r="AX5" i="3"/>
  <c r="AX12" i="3"/>
  <c r="AX6" i="3"/>
  <c r="AX11" i="3"/>
  <c r="AX8" i="3"/>
  <c r="AX7" i="3"/>
  <c r="AX42" i="3"/>
  <c r="AX52" i="3"/>
  <c r="AX37" i="3"/>
  <c r="AX18" i="3"/>
  <c r="AX14" i="3"/>
  <c r="AX36" i="3"/>
  <c r="AX38" i="3"/>
  <c r="AX23" i="3"/>
  <c r="AX22" i="3"/>
  <c r="AX50" i="3"/>
  <c r="AX13" i="3"/>
  <c r="AX32" i="3"/>
  <c r="AX4" i="3"/>
  <c r="AX39" i="3"/>
  <c r="AX33" i="3"/>
  <c r="AX51" i="3"/>
  <c r="AX34" i="3"/>
  <c r="AX26" i="3"/>
  <c r="AX16" i="3"/>
  <c r="AX44" i="3"/>
  <c r="AX19" i="3"/>
  <c r="AX40" i="3"/>
  <c r="AX25" i="3"/>
  <c r="AX49" i="3"/>
  <c r="AX30" i="3"/>
  <c r="AX28" i="3"/>
  <c r="AX24" i="3"/>
  <c r="AX35" i="3"/>
  <c r="AX45" i="3"/>
  <c r="AX48" i="3"/>
  <c r="AX43" i="3"/>
  <c r="AX31" i="3"/>
  <c r="AX47" i="3"/>
  <c r="AX15" i="3"/>
  <c r="AX21" i="3"/>
  <c r="AX41" i="3"/>
  <c r="AX17" i="3"/>
  <c r="AX20" i="3"/>
  <c r="AX10" i="3"/>
  <c r="AX3" i="3"/>
  <c r="AP9" i="3"/>
  <c r="AQ9" i="3"/>
  <c r="AO9" i="3"/>
  <c r="AP5" i="3"/>
  <c r="AQ5" i="3"/>
  <c r="AO5" i="3"/>
  <c r="AO12" i="3"/>
  <c r="AP12" i="3"/>
  <c r="AQ12" i="3"/>
  <c r="AQ6" i="3"/>
  <c r="AP6" i="3"/>
  <c r="AO6" i="3"/>
  <c r="AP11" i="3"/>
  <c r="AQ11" i="3"/>
  <c r="AO11" i="3"/>
  <c r="AO8" i="3"/>
  <c r="AQ8" i="3"/>
  <c r="AP8" i="3"/>
  <c r="AO7" i="3"/>
  <c r="AQ7" i="3"/>
  <c r="AP7" i="3"/>
  <c r="AQ42" i="3"/>
  <c r="AP42" i="3"/>
  <c r="AO42" i="3"/>
  <c r="AO52" i="3"/>
  <c r="AP52" i="3"/>
  <c r="AQ52" i="3"/>
  <c r="AP37" i="3"/>
  <c r="AO37" i="3"/>
  <c r="AQ37" i="3"/>
  <c r="AQ18" i="3"/>
  <c r="AP18" i="3"/>
  <c r="AO18" i="3"/>
  <c r="AQ14" i="3"/>
  <c r="AO14" i="3"/>
  <c r="AP14" i="3"/>
  <c r="AO36" i="3"/>
  <c r="AP36" i="3"/>
  <c r="AQ36" i="3"/>
  <c r="AQ38" i="3"/>
  <c r="AO38" i="3"/>
  <c r="AP38" i="3"/>
  <c r="AO23" i="3"/>
  <c r="AQ23" i="3"/>
  <c r="AP23" i="3"/>
  <c r="AQ22" i="3"/>
  <c r="AO22" i="3"/>
  <c r="AP22" i="3"/>
  <c r="AQ50" i="3"/>
  <c r="AP50" i="3"/>
  <c r="AO50" i="3"/>
  <c r="AP13" i="3"/>
  <c r="AO13" i="3"/>
  <c r="AQ13" i="3"/>
  <c r="AO32" i="3"/>
  <c r="AQ32" i="3"/>
  <c r="AP32" i="3"/>
  <c r="AO4" i="3"/>
  <c r="AQ4" i="3"/>
  <c r="AP4" i="3"/>
  <c r="AO39" i="3"/>
  <c r="AQ39" i="3"/>
  <c r="AP39" i="3"/>
  <c r="AP33" i="3"/>
  <c r="AQ33" i="3"/>
  <c r="AO33" i="3"/>
  <c r="AP51" i="3"/>
  <c r="AQ51" i="3"/>
  <c r="AO51" i="3"/>
  <c r="AQ34" i="3"/>
  <c r="AP34" i="3"/>
  <c r="AO34" i="3"/>
  <c r="AQ26" i="3"/>
  <c r="AP26" i="3"/>
  <c r="AO26" i="3"/>
  <c r="AO16" i="3"/>
  <c r="AQ16" i="3"/>
  <c r="AP16" i="3"/>
  <c r="AO44" i="3"/>
  <c r="AP44" i="3"/>
  <c r="AQ44" i="3"/>
  <c r="AP19" i="3"/>
  <c r="AQ19" i="3"/>
  <c r="AO19" i="3"/>
  <c r="AO40" i="3"/>
  <c r="AQ40" i="3"/>
  <c r="AP40" i="3"/>
  <c r="AP25" i="3"/>
  <c r="AQ25" i="3"/>
  <c r="AO25" i="3"/>
  <c r="AP49" i="3"/>
  <c r="AQ49" i="3"/>
  <c r="AO49" i="3"/>
  <c r="AQ30" i="3"/>
  <c r="AO30" i="3"/>
  <c r="AP30" i="3"/>
  <c r="AO28" i="3"/>
  <c r="AP28" i="3"/>
  <c r="AQ28" i="3"/>
  <c r="AO24" i="3"/>
  <c r="AQ24" i="3"/>
  <c r="AP24" i="3"/>
  <c r="AP35" i="3"/>
  <c r="AQ35" i="3"/>
  <c r="AO35" i="3"/>
  <c r="AP45" i="3"/>
  <c r="AO45" i="3"/>
  <c r="AQ45" i="3"/>
  <c r="AP41" i="3"/>
  <c r="AQ41" i="3"/>
  <c r="AO41" i="3"/>
  <c r="AP17" i="3"/>
  <c r="AQ17" i="3"/>
  <c r="AO17" i="3"/>
  <c r="AP21" i="3"/>
  <c r="AO21" i="3"/>
  <c r="AQ21" i="3"/>
  <c r="AQ46" i="3"/>
  <c r="AO46" i="3"/>
  <c r="AP46" i="3"/>
  <c r="AO47" i="3"/>
  <c r="AQ47" i="3"/>
  <c r="AP47" i="3"/>
  <c r="AP27" i="3"/>
  <c r="AQ27" i="3"/>
  <c r="AO27" i="3"/>
  <c r="AO15" i="3"/>
  <c r="AQ15" i="3"/>
  <c r="AP15" i="3"/>
  <c r="AO20" i="3"/>
  <c r="AP20" i="3"/>
  <c r="AQ20" i="3"/>
  <c r="AQ10" i="3"/>
  <c r="AP10" i="3"/>
  <c r="AO10" i="3"/>
  <c r="AO48" i="3"/>
  <c r="AQ48" i="3"/>
  <c r="AP48" i="3"/>
  <c r="AP43" i="3"/>
  <c r="AQ43" i="3"/>
  <c r="AO43" i="3"/>
  <c r="AP29" i="3"/>
  <c r="AO29" i="3"/>
  <c r="AQ29" i="3"/>
  <c r="AO31" i="3"/>
  <c r="AQ31" i="3"/>
  <c r="AP31" i="3"/>
  <c r="AQ3" i="3"/>
  <c r="AP3" i="3"/>
  <c r="AO3" i="3"/>
  <c r="AL9" i="3"/>
  <c r="AL20" i="3"/>
  <c r="AL21" i="3"/>
  <c r="AL18" i="3"/>
  <c r="AL12" i="3"/>
  <c r="AL6" i="3"/>
  <c r="AL7" i="3"/>
  <c r="AL8" i="3"/>
  <c r="AL11" i="3"/>
  <c r="AL15" i="3"/>
  <c r="AL4" i="3"/>
  <c r="AL5" i="3"/>
  <c r="AL14" i="3"/>
  <c r="AL24" i="3"/>
  <c r="AL10" i="3"/>
  <c r="AL22" i="3"/>
  <c r="AL16" i="3"/>
  <c r="AL23" i="3"/>
  <c r="AL19" i="3"/>
  <c r="AL17" i="3"/>
  <c r="AL3" i="3"/>
  <c r="AL13" i="3"/>
  <c r="AG18" i="3"/>
  <c r="AG7" i="3"/>
  <c r="AG11" i="3"/>
  <c r="AG17" i="3"/>
  <c r="AG23" i="3"/>
  <c r="AG10" i="3"/>
  <c r="AG13" i="3"/>
  <c r="AG4" i="3"/>
  <c r="AG16" i="3"/>
  <c r="AG19" i="3"/>
  <c r="AG20" i="3"/>
  <c r="AG12" i="3"/>
  <c r="AG21" i="3"/>
  <c r="AG6" i="3"/>
  <c r="AG22" i="3"/>
  <c r="AG5" i="3"/>
  <c r="AG15" i="3"/>
  <c r="AG8" i="3"/>
  <c r="AG24" i="3"/>
  <c r="AG14" i="3"/>
  <c r="AG9" i="3"/>
  <c r="AG3" i="3"/>
  <c r="AF18" i="3"/>
  <c r="AF7" i="3"/>
  <c r="AF11" i="3"/>
  <c r="AF17" i="3"/>
  <c r="AF23" i="3"/>
  <c r="AF10" i="3"/>
  <c r="AF13" i="3"/>
  <c r="AF4" i="3"/>
  <c r="AF16" i="3"/>
  <c r="AF19" i="3"/>
  <c r="AF20" i="3"/>
  <c r="AF12" i="3"/>
  <c r="AF21" i="3"/>
  <c r="AF6" i="3"/>
  <c r="AF22" i="3"/>
  <c r="AF5" i="3"/>
  <c r="AF15" i="3"/>
  <c r="AF8" i="3"/>
  <c r="AF24" i="3"/>
  <c r="AF14" i="3"/>
  <c r="AF9" i="3"/>
  <c r="AF3" i="3"/>
  <c r="Z3" i="3"/>
  <c r="Z4" i="3"/>
  <c r="X27" i="3"/>
  <c r="X29" i="3"/>
  <c r="X24" i="3"/>
  <c r="X26" i="3"/>
  <c r="X28" i="3"/>
  <c r="X30" i="3"/>
  <c r="X23" i="3"/>
  <c r="X25" i="3"/>
  <c r="P6" i="3"/>
  <c r="Q6" i="3"/>
  <c r="P9" i="3"/>
  <c r="Q9" i="3"/>
  <c r="P11" i="3"/>
  <c r="Q11" i="3"/>
  <c r="P10" i="3"/>
  <c r="Q10" i="3"/>
  <c r="P12" i="3"/>
  <c r="Q12" i="3"/>
  <c r="P4" i="3"/>
  <c r="Q4" i="3"/>
  <c r="P8" i="3"/>
  <c r="Q8" i="3"/>
  <c r="P5" i="3"/>
  <c r="Q5" i="3"/>
  <c r="P7" i="3"/>
  <c r="Q7" i="3"/>
  <c r="Q3" i="3"/>
  <c r="P3" i="3"/>
  <c r="O6" i="3"/>
  <c r="O9" i="3"/>
  <c r="O11" i="3"/>
  <c r="O10" i="3"/>
  <c r="O12" i="3"/>
  <c r="O4" i="3"/>
  <c r="O8" i="3"/>
  <c r="O5" i="3"/>
  <c r="O7" i="3"/>
  <c r="O3" i="3"/>
  <c r="X32" i="3"/>
  <c r="X31" i="3"/>
  <c r="X13" i="3"/>
  <c r="X17" i="3"/>
  <c r="X21" i="3"/>
  <c r="X14" i="3"/>
  <c r="X18" i="3"/>
  <c r="X22" i="3"/>
  <c r="X15" i="3"/>
  <c r="X19" i="3"/>
  <c r="X12" i="3"/>
  <c r="X16" i="3"/>
  <c r="X20" i="3"/>
  <c r="X11" i="3"/>
  <c r="AD4" i="3"/>
  <c r="AD3" i="3"/>
  <c r="X6" i="3"/>
  <c r="X10" i="3"/>
  <c r="X4" i="3"/>
  <c r="X5" i="3"/>
  <c r="X8" i="3"/>
  <c r="X9" i="3"/>
  <c r="X7" i="3"/>
  <c r="X3" i="3"/>
  <c r="B35" i="3"/>
  <c r="B12" i="4" l="1"/>
  <c r="A12" i="4"/>
  <c r="B33" i="3"/>
  <c r="B11" i="4"/>
  <c r="B10" i="4"/>
  <c r="B9" i="4"/>
  <c r="A11" i="4"/>
  <c r="A10" i="4"/>
  <c r="A9" i="4"/>
  <c r="B29" i="3"/>
  <c r="B30" i="3"/>
  <c r="B8" i="4"/>
  <c r="B7" i="4"/>
  <c r="A8" i="4"/>
  <c r="A7" i="4"/>
  <c r="B6" i="4"/>
  <c r="A6" i="4"/>
  <c r="B5" i="4"/>
  <c r="A5" i="4"/>
  <c r="B4" i="4"/>
  <c r="A4" i="4"/>
  <c r="B3" i="4"/>
  <c r="A3" i="4"/>
  <c r="B34" i="3"/>
  <c r="B32" i="3"/>
  <c r="B26" i="3"/>
  <c r="B3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 Lancaster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The NW and SE corner coordinates define simulation rectangular area</t>
        </r>
      </text>
    </comment>
    <comment ref="A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Converts latitude degrees to km</t>
        </r>
      </text>
    </comment>
    <comment ref="A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Converts longitude degrees to km</t>
        </r>
      </text>
    </comment>
    <comment ref="A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Defines driving distance metric.
1 = Manhatten distance
2 = Euclidean distance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Defines driving distance metric.
1 = Manhatten distance
2 = Euclidean distance</t>
        </r>
      </text>
    </comment>
    <comment ref="A1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Number of responders from 1 to 1000</t>
        </r>
      </text>
    </comment>
    <comment ref="A1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Number of responders from 1 to 1000</t>
        </r>
      </text>
    </comment>
    <comment ref="A1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Time delay from EMS dispatch until responder dispatch.</t>
        </r>
      </text>
    </comment>
    <comment ref="A1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Time from receiving alert notification until start of walk transit.</t>
        </r>
      </text>
    </comment>
    <comment ref="A1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Time from receiving alert notification until start of drive transit.</t>
        </r>
      </text>
    </comment>
    <comment ref="A19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The probability that a responder will be willing and able to responde to an alert.</t>
        </r>
      </text>
    </comment>
    <comment ref="A20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Time from EMS dispatch call to start of transit.</t>
        </r>
      </text>
    </comment>
  </commentList>
</comments>
</file>

<file path=xl/sharedStrings.xml><?xml version="1.0" encoding="utf-8"?>
<sst xmlns="http://schemas.openxmlformats.org/spreadsheetml/2006/main" count="103" uniqueCount="70">
  <si>
    <t>Model Inputs</t>
  </si>
  <si>
    <t>Static Response Locations</t>
  </si>
  <si>
    <t>Cardiac Arrest Location (Random)</t>
  </si>
  <si>
    <t>EMS Response</t>
  </si>
  <si>
    <t>AED Response</t>
  </si>
  <si>
    <t>Simulation region</t>
  </si>
  <si>
    <t>EMS Dispatch Locations</t>
  </si>
  <si>
    <t>AED Locations</t>
  </si>
  <si>
    <t>Longitude</t>
  </si>
  <si>
    <t>Latitude</t>
  </si>
  <si>
    <t>Responder #</t>
  </si>
  <si>
    <t>Reliability</t>
  </si>
  <si>
    <t>Drive Response Time</t>
  </si>
  <si>
    <t>EMS distance to CA</t>
  </si>
  <si>
    <t>AED distance to CA</t>
  </si>
  <si>
    <t>Response time</t>
  </si>
  <si>
    <t>Northwest corner latitude</t>
  </si>
  <si>
    <t>Northwest corner longitude</t>
  </si>
  <si>
    <t>Southeast corner latitude</t>
  </si>
  <si>
    <t>Southeast corner longitude</t>
  </si>
  <si>
    <t>Cardiac Arrest Distribution Parameters</t>
  </si>
  <si>
    <t>Latitude degrees to km conversion</t>
  </si>
  <si>
    <t>Longitude degrees to km conversion</t>
  </si>
  <si>
    <t>Minkowski walk distance order (p)</t>
  </si>
  <si>
    <t>Minkowski drive distance order (p)</t>
  </si>
  <si>
    <t>AED Responder walking speed (km/h)</t>
  </si>
  <si>
    <t>Responder Distribution Parameters</t>
  </si>
  <si>
    <t>Walk delay time (min)</t>
  </si>
  <si>
    <t>Drive delay time (min)</t>
  </si>
  <si>
    <t>EMS chute time (min)</t>
  </si>
  <si>
    <t>EMS driving speed (km/h)</t>
  </si>
  <si>
    <t>Model Outputs</t>
  </si>
  <si>
    <t>EMS response time (min)</t>
  </si>
  <si>
    <t>AED response time</t>
  </si>
  <si>
    <t>Number of AEDs within 200 m walk</t>
  </si>
  <si>
    <t>Number of Ubers within 3 km drive</t>
  </si>
  <si>
    <t>Responder Density (per sq km)</t>
  </si>
  <si>
    <t>Location</t>
  </si>
  <si>
    <t>Google Distance</t>
  </si>
  <si>
    <t xml:space="preserve">Number of Mobile responders in simulation </t>
  </si>
  <si>
    <t>Taxi driving speed (km/h)</t>
  </si>
  <si>
    <t>Taxi dispatch delay time (min)</t>
  </si>
  <si>
    <t>Taxi Availability</t>
  </si>
  <si>
    <t>Lat, Long</t>
  </si>
  <si>
    <t>Closest Mobile response time (min)</t>
  </si>
  <si>
    <t>2nd Mobile response time(min)</t>
  </si>
  <si>
    <t>Radius</t>
  </si>
  <si>
    <t>Mobile responder</t>
  </si>
  <si>
    <t>latitude</t>
  </si>
  <si>
    <t>longitude</t>
  </si>
  <si>
    <t>type</t>
  </si>
  <si>
    <t>Ambulance</t>
  </si>
  <si>
    <t>AED</t>
  </si>
  <si>
    <t>Cardiac Arrest</t>
  </si>
  <si>
    <t>Difference in response time</t>
  </si>
  <si>
    <t>Closest AED</t>
  </si>
  <si>
    <t>2nd Closest</t>
  </si>
  <si>
    <t>Closest Ambulance</t>
  </si>
  <si>
    <t>Closest Responder</t>
  </si>
  <si>
    <t>2nd Responder</t>
  </si>
  <si>
    <t>3rd Responder</t>
  </si>
  <si>
    <t>Mobile Responder Locations and Data</t>
  </si>
  <si>
    <t>Pedestrian First Responder Locations and Data</t>
  </si>
  <si>
    <t>Walk Response Time</t>
  </si>
  <si>
    <t xml:space="preserve">Number of Pedestrian first responders in simulation </t>
  </si>
  <si>
    <t>First responder</t>
  </si>
  <si>
    <t>First Responder time</t>
  </si>
  <si>
    <t>Drone Response Time</t>
  </si>
  <si>
    <t>Drone Distance</t>
  </si>
  <si>
    <t>Drone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</si>
</sst>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1" xfId="0" applyFill="1" applyBorder="1"/>
    <xf numFmtId="164" fontId="0" fillId="2" borderId="2" xfId="0" applyNumberFormat="1" applyFill="1" applyBorder="1"/>
    <xf numFmtId="0" fontId="0" fillId="4" borderId="5" xfId="0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0" fontId="1" fillId="5" borderId="6" xfId="0" applyFont="1" applyFill="1" applyBorder="1"/>
    <xf numFmtId="0" fontId="0" fillId="5" borderId="7" xfId="0" applyFill="1" applyBorder="1"/>
    <xf numFmtId="0" fontId="0" fillId="5" borderId="8" xfId="0" applyFill="1" applyBorder="1"/>
    <xf numFmtId="0" fontId="1" fillId="2" borderId="12" xfId="0" applyFont="1" applyFill="1" applyBorder="1"/>
    <xf numFmtId="0" fontId="0" fillId="2" borderId="13" xfId="0" applyFill="1" applyBorder="1"/>
    <xf numFmtId="0" fontId="0" fillId="7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0" xfId="0" applyFill="1" applyBorder="1"/>
    <xf numFmtId="0" fontId="0" fillId="2" borderId="2" xfId="0" applyFill="1" applyBorder="1"/>
    <xf numFmtId="0" fontId="0" fillId="7" borderId="20" xfId="0" applyFill="1" applyBorder="1"/>
    <xf numFmtId="0" fontId="0" fillId="3" borderId="21" xfId="0" applyFill="1" applyBorder="1"/>
    <xf numFmtId="0" fontId="0" fillId="5" borderId="1" xfId="0" applyFill="1" applyBorder="1"/>
    <xf numFmtId="0" fontId="0" fillId="5" borderId="2" xfId="0" applyFill="1" applyBorder="1"/>
    <xf numFmtId="0" fontId="0" fillId="7" borderId="20" xfId="0" applyFill="1" applyBorder="1" applyAlignment="1">
      <alignment horizontal="center"/>
    </xf>
    <xf numFmtId="0" fontId="0" fillId="3" borderId="17" xfId="0" applyFill="1" applyBorder="1"/>
    <xf numFmtId="0" fontId="0" fillId="3" borderId="18" xfId="0" applyFill="1" applyBorder="1"/>
    <xf numFmtId="0" fontId="1" fillId="8" borderId="12" xfId="0" applyFont="1" applyFill="1" applyBorder="1"/>
    <xf numFmtId="0" fontId="0" fillId="8" borderId="13" xfId="0" applyFill="1" applyBorder="1"/>
    <xf numFmtId="0" fontId="0" fillId="9" borderId="18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17" xfId="0" applyFill="1" applyBorder="1"/>
    <xf numFmtId="0" fontId="0" fillId="8" borderId="18" xfId="0" applyFill="1" applyBorder="1"/>
    <xf numFmtId="0" fontId="0" fillId="10" borderId="17" xfId="0" applyFill="1" applyBorder="1"/>
    <xf numFmtId="0" fontId="0" fillId="10" borderId="21" xfId="0" applyFill="1" applyBorder="1"/>
    <xf numFmtId="0" fontId="1" fillId="3" borderId="12" xfId="0" applyFont="1" applyFill="1" applyBorder="1"/>
    <xf numFmtId="0" fontId="0" fillId="3" borderId="13" xfId="0" applyFill="1" applyBorder="1"/>
    <xf numFmtId="0" fontId="0" fillId="3" borderId="23" xfId="0" applyFill="1" applyBorder="1"/>
    <xf numFmtId="0" fontId="0" fillId="3" borderId="12" xfId="0" applyFill="1" applyBorder="1"/>
    <xf numFmtId="0" fontId="0" fillId="3" borderId="1" xfId="0" applyFill="1" applyBorder="1"/>
    <xf numFmtId="0" fontId="0" fillId="3" borderId="2" xfId="0" applyFill="1" applyBorder="1"/>
    <xf numFmtId="0" fontId="0" fillId="0" borderId="0" xfId="0" applyFill="1" applyBorder="1"/>
    <xf numFmtId="0" fontId="1" fillId="10" borderId="6" xfId="0" applyFont="1" applyFill="1" applyBorder="1"/>
    <xf numFmtId="0" fontId="0" fillId="10" borderId="7" xfId="0" applyFill="1" applyBorder="1"/>
    <xf numFmtId="165" fontId="0" fillId="10" borderId="18" xfId="0" applyNumberFormat="1" applyFill="1" applyBorder="1"/>
    <xf numFmtId="0" fontId="0" fillId="10" borderId="18" xfId="0" applyFill="1" applyBorder="1"/>
    <xf numFmtId="0" fontId="0" fillId="10" borderId="1" xfId="0" applyFill="1" applyBorder="1"/>
    <xf numFmtId="165" fontId="0" fillId="10" borderId="2" xfId="0" applyNumberFormat="1" applyFill="1" applyBorder="1"/>
    <xf numFmtId="0" fontId="1" fillId="0" borderId="0" xfId="0" applyFont="1" applyFill="1" applyBorder="1"/>
    <xf numFmtId="165" fontId="0" fillId="0" borderId="0" xfId="0" applyNumberFormat="1" applyFill="1" applyBorder="1"/>
    <xf numFmtId="2" fontId="0" fillId="0" borderId="0" xfId="0" applyNumberFormat="1" applyFill="1" applyBorder="1"/>
    <xf numFmtId="0" fontId="0" fillId="0" borderId="5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4" fontId="0" fillId="4" borderId="26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3" borderId="0" xfId="0" applyFill="1" applyBorder="1"/>
    <xf numFmtId="0" fontId="0" fillId="3" borderId="22" xfId="0" applyFill="1" applyBorder="1"/>
    <xf numFmtId="164" fontId="0" fillId="2" borderId="1" xfId="0" applyNumberFormat="1" applyFill="1" applyBorder="1"/>
    <xf numFmtId="0" fontId="0" fillId="5" borderId="9" xfId="0" applyFill="1" applyBorder="1"/>
    <xf numFmtId="0" fontId="0" fillId="5" borderId="11" xfId="0" applyFill="1" applyBorder="1"/>
    <xf numFmtId="0" fontId="0" fillId="0" borderId="17" xfId="0" applyFill="1" applyBorder="1"/>
    <xf numFmtId="0" fontId="0" fillId="0" borderId="18" xfId="0" applyFill="1" applyBorder="1"/>
    <xf numFmtId="164" fontId="0" fillId="0" borderId="20" xfId="0" applyNumberFormat="1" applyFill="1" applyBorder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22" xfId="0" applyFill="1" applyBorder="1"/>
    <xf numFmtId="0" fontId="0" fillId="0" borderId="24" xfId="0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0" fontId="1" fillId="6" borderId="13" xfId="0" applyFont="1" applyFill="1" applyBorder="1"/>
    <xf numFmtId="0" fontId="0" fillId="6" borderId="2" xfId="0" applyFill="1" applyBorder="1"/>
    <xf numFmtId="0" fontId="0" fillId="6" borderId="0" xfId="0" applyFont="1" applyFill="1" applyBorder="1"/>
    <xf numFmtId="0" fontId="0" fillId="11" borderId="0" xfId="0" applyFill="1"/>
    <xf numFmtId="0" fontId="0" fillId="11" borderId="5" xfId="0" applyFill="1" applyBorder="1" applyAlignment="1">
      <alignment horizontal="center"/>
    </xf>
    <xf numFmtId="0" fontId="0" fillId="11" borderId="0" xfId="0" applyFill="1" applyBorder="1"/>
    <xf numFmtId="0" fontId="0" fillId="11" borderId="0" xfId="0" applyFill="1" applyBorder="1" applyAlignment="1">
      <alignment horizontal="center"/>
    </xf>
    <xf numFmtId="0" fontId="1" fillId="11" borderId="14" xfId="0" applyFont="1" applyFill="1" applyBorder="1"/>
    <xf numFmtId="0" fontId="0" fillId="11" borderId="27" xfId="0" applyFill="1" applyBorder="1"/>
    <xf numFmtId="0" fontId="1" fillId="11" borderId="15" xfId="0" applyFont="1" applyFill="1" applyBorder="1"/>
    <xf numFmtId="0" fontId="0" fillId="11" borderId="19" xfId="0" applyFill="1" applyBorder="1" applyAlignment="1">
      <alignment horizontal="left"/>
    </xf>
    <xf numFmtId="0" fontId="0" fillId="2" borderId="0" xfId="0" applyFill="1"/>
    <xf numFmtId="0" fontId="0" fillId="2" borderId="5" xfId="0" applyFill="1" applyBorder="1" applyAlignment="1">
      <alignment horizontal="center"/>
    </xf>
    <xf numFmtId="0" fontId="1" fillId="11" borderId="28" xfId="0" applyFont="1" applyFill="1" applyBorder="1"/>
    <xf numFmtId="0" fontId="0" fillId="11" borderId="29" xfId="0" applyFill="1" applyBorder="1" applyAlignment="1">
      <alignment horizontal="left"/>
    </xf>
    <xf numFmtId="164" fontId="0" fillId="0" borderId="0" xfId="0" applyNumberFormat="1"/>
    <xf numFmtId="0" fontId="0" fillId="4" borderId="30" xfId="0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Fire Station</c:v>
          </c:tx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Model!$D$4:$D$24</c:f>
              <c:numCache>
                <c:formatCode>General</c:formatCode>
                <c:ptCount val="21"/>
                <c:pt idx="0">
                  <c:v>10.121601</c:v>
                </c:pt>
                <c:pt idx="1">
                  <c:v>10.124955999999999</c:v>
                </c:pt>
              </c:numCache>
            </c:numRef>
          </c:xVal>
          <c:yVal>
            <c:numRef>
              <c:f>Model!$E$4:$E$24</c:f>
              <c:numCache>
                <c:formatCode>General</c:formatCode>
                <c:ptCount val="21"/>
                <c:pt idx="0">
                  <c:v>54.331479999999999</c:v>
                </c:pt>
                <c:pt idx="1">
                  <c:v>54.316555999999999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C7-4277-A591-CBA29283F37F}"/>
            </c:ext>
          </c:extLst>
        </c:ser>
        <c:ser>
          <c:idx val="1"/>
          <c:order val="1"/>
          <c:tx>
            <c:v>Taxi</c:v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Model!$R$3:$R$1002</c:f>
              <c:numCache>
                <c:formatCode>General</c:formatCode>
                <c:ptCount val="1000"/>
                <c:pt idx="0">
                  <c:v>10.121672953038722</c:v>
                </c:pt>
                <c:pt idx="1">
                  <c:v>10.138440472836585</c:v>
                </c:pt>
                <c:pt idx="2">
                  <c:v>10.119097014988983</c:v>
                </c:pt>
                <c:pt idx="3">
                  <c:v>10.12634062268563</c:v>
                </c:pt>
                <c:pt idx="4">
                  <c:v>10.112594946020208</c:v>
                </c:pt>
                <c:pt idx="5">
                  <c:v>10.117957030625529</c:v>
                </c:pt>
                <c:pt idx="6">
                  <c:v>10.144972795123714</c:v>
                </c:pt>
                <c:pt idx="7">
                  <c:v>10.14183666854751</c:v>
                </c:pt>
                <c:pt idx="8">
                  <c:v>10.129707406182654</c:v>
                </c:pt>
                <c:pt idx="9">
                  <c:v>10.137050267482632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Model!$S$3:$S$1002</c:f>
              <c:numCache>
                <c:formatCode>0.00000</c:formatCode>
                <c:ptCount val="1000"/>
                <c:pt idx="0">
                  <c:v>54.324178035052491</c:v>
                </c:pt>
                <c:pt idx="1">
                  <c:v>54.310941021979019</c:v>
                </c:pt>
                <c:pt idx="2">
                  <c:v>54.317880243641483</c:v>
                </c:pt>
                <c:pt idx="3">
                  <c:v>54.308403837686107</c:v>
                </c:pt>
                <c:pt idx="4">
                  <c:v>54.32546485252066</c:v>
                </c:pt>
                <c:pt idx="5">
                  <c:v>54.325610164258308</c:v>
                </c:pt>
                <c:pt idx="6">
                  <c:v>54.313505490880097</c:v>
                </c:pt>
                <c:pt idx="7">
                  <c:v>54.328287394167589</c:v>
                </c:pt>
                <c:pt idx="8">
                  <c:v>54.312055414573052</c:v>
                </c:pt>
                <c:pt idx="9">
                  <c:v>54.311092789126818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C7-4277-A591-CBA29283F37F}"/>
            </c:ext>
          </c:extLst>
        </c:ser>
        <c:ser>
          <c:idx val="2"/>
          <c:order val="2"/>
          <c:tx>
            <c:v>Cardiac Arrest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41275">
                <a:noFill/>
              </a:ln>
              <a:effectLst/>
            </c:spPr>
          </c:marker>
          <c:dPt>
            <c:idx val="0"/>
            <c:marker>
              <c:symbol val="picture"/>
            </c:marker>
            <c:bubble3D val="0"/>
            <c:extLst>
              <c:ext xmlns:c16="http://schemas.microsoft.com/office/drawing/2014/chart" uri="{C3380CC4-5D6E-409C-BE32-E72D297353CC}">
                <c16:uniqueId val="{00000002-3EC7-4277-A591-CBA29283F37F}"/>
              </c:ext>
            </c:extLst>
          </c:dPt>
          <c:xVal>
            <c:numRef>
              <c:f>Model!$K$3</c:f>
              <c:numCache>
                <c:formatCode>0.00000</c:formatCode>
                <c:ptCount val="1"/>
                <c:pt idx="0">
                  <c:v>10.127459357461085</c:v>
                </c:pt>
              </c:numCache>
            </c:numRef>
          </c:xVal>
          <c:yVal>
            <c:numRef>
              <c:f>Model!$L$3</c:f>
              <c:numCache>
                <c:formatCode>0.00000</c:formatCode>
                <c:ptCount val="1"/>
                <c:pt idx="0">
                  <c:v>54.319828617685474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C7-4277-A591-CBA29283F37F}"/>
            </c:ext>
          </c:extLst>
        </c:ser>
        <c:ser>
          <c:idx val="4"/>
          <c:order val="4"/>
          <c:tx>
            <c:strRef>
              <c:f>Model!$G$2:$I$2</c:f>
              <c:strCache>
                <c:ptCount val="1"/>
                <c:pt idx="0">
                  <c:v>AED Locations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</c:spPr>
          </c:marker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BA98-4A47-84DF-1BCE3392DAB2}"/>
              </c:ext>
            </c:extLst>
          </c:dPt>
          <c:xVal>
            <c:numRef>
              <c:f>Model!$G$4:$G$18</c:f>
              <c:numCache>
                <c:formatCode>General</c:formatCode>
                <c:ptCount val="15"/>
                <c:pt idx="0">
                  <c:v>10.135704</c:v>
                </c:pt>
                <c:pt idx="1">
                  <c:v>10.133182</c:v>
                </c:pt>
                <c:pt idx="2">
                  <c:v>10.1276049</c:v>
                </c:pt>
                <c:pt idx="3">
                  <c:v>10.124980000000001</c:v>
                </c:pt>
                <c:pt idx="4">
                  <c:v>10.126620000000001</c:v>
                </c:pt>
                <c:pt idx="5">
                  <c:v>10.11275</c:v>
                </c:pt>
                <c:pt idx="6">
                  <c:v>10.115975000000001</c:v>
                </c:pt>
                <c:pt idx="7">
                  <c:v>10.131194000000001</c:v>
                </c:pt>
                <c:pt idx="8">
                  <c:v>10.128852999999999</c:v>
                </c:pt>
                <c:pt idx="9">
                  <c:v>10.14598</c:v>
                </c:pt>
                <c:pt idx="10">
                  <c:v>10.133305</c:v>
                </c:pt>
                <c:pt idx="11">
                  <c:v>10.143094</c:v>
                </c:pt>
                <c:pt idx="12">
                  <c:v>10.113476</c:v>
                </c:pt>
                <c:pt idx="13">
                  <c:v>10.134164999999999</c:v>
                </c:pt>
                <c:pt idx="14">
                  <c:v>10.13522</c:v>
                </c:pt>
              </c:numCache>
            </c:numRef>
          </c:xVal>
          <c:yVal>
            <c:numRef>
              <c:f>Model!$H$4:$H$18</c:f>
              <c:numCache>
                <c:formatCode>General</c:formatCode>
                <c:ptCount val="15"/>
                <c:pt idx="0">
                  <c:v>54.326619000000001</c:v>
                </c:pt>
                <c:pt idx="1">
                  <c:v>54.315931999999997</c:v>
                </c:pt>
                <c:pt idx="2">
                  <c:v>54.313828299999997</c:v>
                </c:pt>
                <c:pt idx="3">
                  <c:v>54.315857000000001</c:v>
                </c:pt>
                <c:pt idx="4">
                  <c:v>54.330840000000002</c:v>
                </c:pt>
                <c:pt idx="5">
                  <c:v>54.319108</c:v>
                </c:pt>
                <c:pt idx="6">
                  <c:v>54.332897000000003</c:v>
                </c:pt>
                <c:pt idx="7">
                  <c:v>54.316687000000002</c:v>
                </c:pt>
                <c:pt idx="8">
                  <c:v>54.327176000000001</c:v>
                </c:pt>
                <c:pt idx="9">
                  <c:v>54.328342999999997</c:v>
                </c:pt>
                <c:pt idx="10">
                  <c:v>54.323089000000003</c:v>
                </c:pt>
                <c:pt idx="11">
                  <c:v>54.313116000000001</c:v>
                </c:pt>
                <c:pt idx="12">
                  <c:v>54.309018999999999</c:v>
                </c:pt>
                <c:pt idx="13">
                  <c:v>54.321252000000001</c:v>
                </c:pt>
                <c:pt idx="14">
                  <c:v>54.327080000000002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8-4A47-84DF-1BCE3392D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87992"/>
        <c:axId val="90938438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AED</c:v>
                </c:tx>
                <c:spPr>
                  <a:ln w="19050">
                    <a:noFill/>
                  </a:ln>
                </c:spPr>
                <c:marker>
                  <c:symbol val="picture"/>
                  <c:spPr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Model!$G$4:$G$25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10.135704</c:v>
                      </c:pt>
                      <c:pt idx="1">
                        <c:v>10.133182</c:v>
                      </c:pt>
                      <c:pt idx="2">
                        <c:v>10.1276049</c:v>
                      </c:pt>
                      <c:pt idx="3">
                        <c:v>10.124980000000001</c:v>
                      </c:pt>
                      <c:pt idx="4">
                        <c:v>10.126620000000001</c:v>
                      </c:pt>
                      <c:pt idx="5">
                        <c:v>10.11275</c:v>
                      </c:pt>
                      <c:pt idx="6">
                        <c:v>10.115975000000001</c:v>
                      </c:pt>
                      <c:pt idx="7">
                        <c:v>10.131194000000001</c:v>
                      </c:pt>
                      <c:pt idx="8">
                        <c:v>10.128852999999999</c:v>
                      </c:pt>
                      <c:pt idx="9">
                        <c:v>10.14598</c:v>
                      </c:pt>
                      <c:pt idx="10">
                        <c:v>10.133305</c:v>
                      </c:pt>
                      <c:pt idx="11">
                        <c:v>10.143094</c:v>
                      </c:pt>
                      <c:pt idx="12">
                        <c:v>10.113476</c:v>
                      </c:pt>
                      <c:pt idx="13">
                        <c:v>10.134164999999999</c:v>
                      </c:pt>
                      <c:pt idx="14">
                        <c:v>10.13522</c:v>
                      </c:pt>
                      <c:pt idx="15">
                        <c:v>10.13875</c:v>
                      </c:pt>
                      <c:pt idx="16">
                        <c:v>10.137359</c:v>
                      </c:pt>
                      <c:pt idx="17">
                        <c:v>10.148505</c:v>
                      </c:pt>
                      <c:pt idx="18">
                        <c:v>10.148821999999999</c:v>
                      </c:pt>
                      <c:pt idx="19">
                        <c:v>10.13307</c:v>
                      </c:pt>
                      <c:pt idx="20">
                        <c:v>10.13419</c:v>
                      </c:pt>
                      <c:pt idx="21">
                        <c:v>10.144494999999999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Model!$H$4:$H$25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54.326619000000001</c:v>
                      </c:pt>
                      <c:pt idx="1">
                        <c:v>54.315931999999997</c:v>
                      </c:pt>
                      <c:pt idx="2">
                        <c:v>54.313828299999997</c:v>
                      </c:pt>
                      <c:pt idx="3">
                        <c:v>54.315857000000001</c:v>
                      </c:pt>
                      <c:pt idx="4">
                        <c:v>54.330840000000002</c:v>
                      </c:pt>
                      <c:pt idx="5">
                        <c:v>54.319108</c:v>
                      </c:pt>
                      <c:pt idx="6">
                        <c:v>54.332897000000003</c:v>
                      </c:pt>
                      <c:pt idx="7">
                        <c:v>54.316687000000002</c:v>
                      </c:pt>
                      <c:pt idx="8">
                        <c:v>54.327176000000001</c:v>
                      </c:pt>
                      <c:pt idx="9">
                        <c:v>54.328342999999997</c:v>
                      </c:pt>
                      <c:pt idx="10">
                        <c:v>54.323089000000003</c:v>
                      </c:pt>
                      <c:pt idx="11">
                        <c:v>54.313116000000001</c:v>
                      </c:pt>
                      <c:pt idx="12">
                        <c:v>54.309018999999999</c:v>
                      </c:pt>
                      <c:pt idx="13">
                        <c:v>54.321252000000001</c:v>
                      </c:pt>
                      <c:pt idx="14">
                        <c:v>54.327080000000002</c:v>
                      </c:pt>
                      <c:pt idx="15">
                        <c:v>54.329700000000003</c:v>
                      </c:pt>
                      <c:pt idx="16">
                        <c:v>54.323152999999998</c:v>
                      </c:pt>
                      <c:pt idx="17">
                        <c:v>54.329917000000002</c:v>
                      </c:pt>
                      <c:pt idx="18">
                        <c:v>54.329976000000002</c:v>
                      </c:pt>
                      <c:pt idx="19">
                        <c:v>54.308199999999999</c:v>
                      </c:pt>
                      <c:pt idx="20">
                        <c:v>54.325980000000001</c:v>
                      </c:pt>
                      <c:pt idx="21">
                        <c:v>54.314146000000001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3EC7-4277-A591-CBA29283F37F}"/>
                  </c:ext>
                </c:extLst>
              </c15:ser>
            </c15:filteredScatterSeries>
          </c:ext>
        </c:extLst>
      </c:scatterChart>
      <c:valAx>
        <c:axId val="909387992"/>
        <c:scaling>
          <c:orientation val="minMax"/>
          <c:max val="10.148999999999999"/>
          <c:min val="10.1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Longitude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09384384"/>
        <c:crosses val="autoZero"/>
        <c:crossBetween val="midCat"/>
        <c:majorUnit val="1.0000000000000002E-2"/>
      </c:valAx>
      <c:valAx>
        <c:axId val="909384384"/>
        <c:scaling>
          <c:orientation val="minMax"/>
          <c:max val="54.332999999999998"/>
          <c:min val="54.3069999999999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09387992"/>
        <c:crosses val="autoZero"/>
        <c:crossBetween val="midCat"/>
        <c:majorUnit val="1.0000000000000002E-2"/>
        <c:minorUnit val="1.0000000000000002E-3"/>
      </c:valAx>
      <c:spPr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160020</xdr:colOff>
      <xdr:row>4</xdr:row>
      <xdr:rowOff>99060</xdr:rowOff>
    </xdr:from>
    <xdr:to>
      <xdr:col>12</xdr:col>
      <xdr:colOff>167640</xdr:colOff>
      <xdr:row>18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19900" y="868680"/>
          <a:ext cx="2583180" cy="2735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/>
            <a:t>Demo Model</a:t>
          </a:r>
        </a:p>
        <a:p>
          <a:r>
            <a:rPr lang="en-US" sz="3200"/>
            <a:t>Press F9</a:t>
          </a:r>
          <a:r>
            <a:rPr lang="en-US" sz="3200" baseline="0"/>
            <a:t> to run simulations</a:t>
          </a:r>
          <a:endParaRPr lang="en-US" sz="3200"/>
        </a:p>
      </xdr:txBody>
    </xdr:sp>
    <xdr:clientData/>
  </xdr:twoCellAnchor>
  <xdr:twoCellAnchor>
    <xdr:from>
      <xdr:col>3</xdr:col>
      <xdr:colOff>76200</xdr:colOff>
      <xdr:row>29</xdr:row>
      <xdr:rowOff>30480</xdr:rowOff>
    </xdr:from>
    <xdr:to>
      <xdr:col>8</xdr:col>
      <xdr:colOff>670560</xdr:colOff>
      <xdr:row>58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E1002"/>
  <sheetViews>
    <sheetView topLeftCell="AV1" zoomScale="90" zoomScaleNormal="90" workbookViewId="0">
      <selection activeCell="AZ4" sqref="AZ4:AZ5"/>
    </sheetView>
  </sheetViews>
  <sheetFormatPr baseColWidth="10" defaultColWidth="8.88671875" defaultRowHeight="14.4" x14ac:dyDescent="0.3"/>
  <cols>
    <col min="1" max="1" width="36.33203125" customWidth="1"/>
    <col min="2" max="2" width="13.44140625" customWidth="1"/>
    <col min="3" max="3" width="5.6640625" customWidth="1"/>
    <col min="4" max="4" width="12.109375" customWidth="1"/>
    <col min="5" max="5" width="11.21875" customWidth="1"/>
    <col min="6" max="6" width="19.109375" customWidth="1"/>
    <col min="7" max="7" width="12" customWidth="1"/>
    <col min="8" max="8" width="12.44140625" customWidth="1"/>
    <col min="9" max="9" width="32.5546875" customWidth="1"/>
    <col min="10" max="10" width="5.33203125" customWidth="1"/>
    <col min="11" max="11" width="17.33203125" customWidth="1"/>
    <col min="12" max="12" width="15.33203125" customWidth="1"/>
    <col min="13" max="13" width="36.33203125" customWidth="1"/>
    <col min="14" max="17" width="11.5546875" customWidth="1"/>
    <col min="18" max="18" width="10.44140625" customWidth="1"/>
    <col min="19" max="19" width="12.21875" customWidth="1"/>
    <col min="20" max="20" width="9.44140625" customWidth="1"/>
    <col min="21" max="21" width="41.21875" customWidth="1"/>
    <col min="22" max="22" width="41.21875" style="70" customWidth="1"/>
    <col min="23" max="23" width="17.88671875" customWidth="1"/>
    <col min="24" max="24" width="18" customWidth="1"/>
    <col min="25" max="25" width="2.5546875" customWidth="1"/>
    <col min="26" max="26" width="8.44140625" customWidth="1"/>
    <col min="27" max="27" width="8.5546875" customWidth="1"/>
    <col min="28" max="28" width="10.21875" customWidth="1"/>
    <col min="29" max="29" width="17.5546875" style="70" customWidth="1"/>
    <col min="30" max="30" width="17.5546875" customWidth="1"/>
    <col min="31" max="31" width="2.77734375" customWidth="1"/>
    <col min="32" max="32" width="12.21875" customWidth="1"/>
    <col min="33" max="33" width="13.109375" customWidth="1"/>
    <col min="34" max="34" width="12.5546875" customWidth="1"/>
    <col min="35" max="35" width="12.88671875" customWidth="1"/>
    <col min="36" max="37" width="17.88671875" style="70" customWidth="1"/>
    <col min="38" max="38" width="15.21875" customWidth="1"/>
    <col min="40" max="43" width="11.5546875" customWidth="1"/>
    <col min="44" max="44" width="10.44140625" customWidth="1"/>
    <col min="45" max="45" width="12.21875" customWidth="1"/>
    <col min="46" max="46" width="9.44140625" customWidth="1"/>
    <col min="47" max="47" width="41.21875" customWidth="1"/>
    <col min="48" max="48" width="41.21875" style="70" customWidth="1"/>
    <col min="49" max="49" width="17.88671875" customWidth="1"/>
    <col min="50" max="50" width="18" customWidth="1"/>
    <col min="53" max="53" width="10.21875" customWidth="1"/>
    <col min="54" max="54" width="11.21875" customWidth="1"/>
    <col min="55" max="55" width="23.33203125" customWidth="1"/>
    <col min="56" max="56" width="14.21875" customWidth="1"/>
    <col min="57" max="57" width="22.5546875" customWidth="1"/>
  </cols>
  <sheetData>
    <row r="1" spans="1:57" ht="15" thickBot="1" x14ac:dyDescent="0.35">
      <c r="A1" s="5" t="s">
        <v>0</v>
      </c>
      <c r="B1" s="6"/>
      <c r="C1" s="7"/>
      <c r="D1" s="88" t="s">
        <v>1</v>
      </c>
      <c r="E1" s="89"/>
      <c r="F1" s="89"/>
      <c r="G1" s="89"/>
      <c r="H1" s="89"/>
      <c r="I1" s="89"/>
      <c r="K1" s="8" t="s">
        <v>2</v>
      </c>
      <c r="L1" s="9"/>
      <c r="M1" s="78"/>
      <c r="N1" s="87" t="s">
        <v>61</v>
      </c>
      <c r="O1" s="87"/>
      <c r="P1" s="87"/>
      <c r="Q1" s="87"/>
      <c r="R1" s="87"/>
      <c r="S1" s="87"/>
      <c r="T1" s="87"/>
      <c r="U1" s="87"/>
      <c r="V1" s="87"/>
      <c r="W1" s="87"/>
      <c r="X1" s="87"/>
      <c r="AC1" s="74" t="s">
        <v>3</v>
      </c>
      <c r="AD1" s="67"/>
      <c r="AJ1" s="76" t="s">
        <v>4</v>
      </c>
      <c r="AK1" s="80"/>
      <c r="AL1" s="10"/>
      <c r="AN1" s="87" t="s">
        <v>62</v>
      </c>
      <c r="AO1" s="87"/>
      <c r="AP1" s="87"/>
      <c r="AQ1" s="87"/>
      <c r="AR1" s="87"/>
      <c r="AS1" s="87"/>
      <c r="AT1" s="87"/>
      <c r="AU1" s="87"/>
      <c r="AV1" s="87"/>
      <c r="AW1" s="87"/>
      <c r="AX1" s="87"/>
    </row>
    <row r="2" spans="1:57" ht="15.6" thickTop="1" thickBot="1" x14ac:dyDescent="0.35">
      <c r="A2" s="11" t="s">
        <v>5</v>
      </c>
      <c r="B2" s="12"/>
      <c r="C2" s="13"/>
      <c r="D2" s="84" t="s">
        <v>6</v>
      </c>
      <c r="E2" s="85"/>
      <c r="F2" s="86"/>
      <c r="G2" s="84" t="s">
        <v>7</v>
      </c>
      <c r="H2" s="85"/>
      <c r="I2" s="86"/>
      <c r="K2" s="1" t="s">
        <v>8</v>
      </c>
      <c r="L2" s="14" t="s">
        <v>9</v>
      </c>
      <c r="M2" s="78" t="s">
        <v>43</v>
      </c>
      <c r="N2" s="3" t="s">
        <v>10</v>
      </c>
      <c r="O2" s="3" t="s">
        <v>58</v>
      </c>
      <c r="P2" s="3" t="s">
        <v>59</v>
      </c>
      <c r="Q2" s="3" t="s">
        <v>60</v>
      </c>
      <c r="R2" s="3" t="s">
        <v>8</v>
      </c>
      <c r="S2" s="3" t="s">
        <v>9</v>
      </c>
      <c r="T2" s="3" t="s">
        <v>11</v>
      </c>
      <c r="U2" s="3" t="s">
        <v>37</v>
      </c>
      <c r="V2" s="71" t="s">
        <v>38</v>
      </c>
      <c r="W2" s="3" t="s">
        <v>46</v>
      </c>
      <c r="X2" s="3" t="s">
        <v>12</v>
      </c>
      <c r="Z2" s="83" t="s">
        <v>57</v>
      </c>
      <c r="AC2" s="75" t="s">
        <v>13</v>
      </c>
      <c r="AD2" s="68" t="s">
        <v>15</v>
      </c>
      <c r="AF2" t="s">
        <v>55</v>
      </c>
      <c r="AG2" t="s">
        <v>56</v>
      </c>
      <c r="AJ2" s="77" t="s">
        <v>14</v>
      </c>
      <c r="AK2" s="81" t="s">
        <v>46</v>
      </c>
      <c r="AL2" s="15" t="s">
        <v>15</v>
      </c>
      <c r="AN2" s="3" t="s">
        <v>10</v>
      </c>
      <c r="AO2" s="3" t="s">
        <v>58</v>
      </c>
      <c r="AP2" s="3" t="s">
        <v>59</v>
      </c>
      <c r="AQ2" s="3" t="s">
        <v>60</v>
      </c>
      <c r="AR2" s="3" t="s">
        <v>8</v>
      </c>
      <c r="AS2" s="3" t="s">
        <v>9</v>
      </c>
      <c r="AT2" s="3" t="s">
        <v>11</v>
      </c>
      <c r="AU2" s="3" t="s">
        <v>37</v>
      </c>
      <c r="AV2" s="71" t="s">
        <v>38</v>
      </c>
      <c r="AW2" s="3" t="s">
        <v>46</v>
      </c>
      <c r="AX2" s="3" t="s">
        <v>63</v>
      </c>
      <c r="BA2" s="84" t="s">
        <v>6</v>
      </c>
      <c r="BB2" s="85"/>
      <c r="BC2" s="86"/>
    </row>
    <row r="3" spans="1:57" ht="15" thickBot="1" x14ac:dyDescent="0.35">
      <c r="A3" s="11" t="s">
        <v>16</v>
      </c>
      <c r="B3" s="16">
        <v>54.332999999999998</v>
      </c>
      <c r="C3" s="13"/>
      <c r="D3" s="55" t="s">
        <v>8</v>
      </c>
      <c r="E3" s="56" t="s">
        <v>9</v>
      </c>
      <c r="F3" s="56" t="s">
        <v>43</v>
      </c>
      <c r="G3" s="13" t="s">
        <v>8</v>
      </c>
      <c r="H3" s="12" t="s">
        <v>9</v>
      </c>
      <c r="I3" s="12" t="s">
        <v>43</v>
      </c>
      <c r="K3" s="54">
        <f ca="1">$B$4+($B$6-$B$4)*RAND()</f>
        <v>10.127459357461085</v>
      </c>
      <c r="L3" s="2">
        <f ca="1">$B$3+($B$5-$B$3)*RAND()</f>
        <v>54.319828617685474</v>
      </c>
      <c r="M3" s="79" t="str">
        <f ca="1">L3&amp;", "&amp;K3</f>
        <v>54.3198286176855, 10.1274593574611</v>
      </c>
      <c r="N3" s="3">
        <v>1</v>
      </c>
      <c r="O3" s="3" t="str">
        <f t="shared" ref="O3:O12" ca="1" si="0">IF(SMALL($V$3:$V$12,1)=V3,"1","")</f>
        <v/>
      </c>
      <c r="P3" s="3" t="str">
        <f t="shared" ref="P3:P12" ca="1" si="1">IF(SMALL($V$3:$V$12,2)=V3,"2","")</f>
        <v>2</v>
      </c>
      <c r="Q3" s="3" t="str">
        <f t="shared" ref="Q3:Q12" ca="1" si="2">IF(SMALL($V$3:$V$12,3)=V3,"3","")</f>
        <v/>
      </c>
      <c r="R3" s="3">
        <f t="shared" ref="R3:R32" ca="1" si="3">IF(N3&lt;=$B$12,$B$4+($B$6-$B$4)*RAND(),NA())</f>
        <v>10.121672953038722</v>
      </c>
      <c r="S3" s="4">
        <f t="shared" ref="S3:S32" ca="1" si="4">IF(N3&lt;=$B$12,$B$3+($B$5-$B$3)*RAND(),NA())</f>
        <v>54.324178035052491</v>
      </c>
      <c r="T3" s="3">
        <f t="shared" ref="T3:T32" ca="1" si="5">IF(RAND()&lt;$B$19,1,0)</f>
        <v>1</v>
      </c>
      <c r="U3" s="3" t="str">
        <f t="shared" ref="U3:U12" ca="1" si="6">S3&amp;", "&amp;R3</f>
        <v>54.3241780350525, 10.1216729530387</v>
      </c>
      <c r="V3" s="70">
        <f ca="1">IF(W3&lt;3,G_DISTANCE(U3, $M$3),"&gt;3")</f>
        <v>0.84399999999999997</v>
      </c>
      <c r="W3" s="3">
        <f t="shared" ref="W3:W32" ca="1" si="7">IF(N3&lt;=$B$12,((ABS(S3-$L$3)*$B$7)^$B$10+(ABS(R3-$K$3)*$B$8)^$B$10)^(1/$B$10),"")</f>
        <v>0.61325117725339784</v>
      </c>
      <c r="X3" s="3">
        <f t="shared" ref="X3:X32" ca="1" si="8">IF((T3=1)*AND(V3&lt;&gt;0),$B$16+$B$18+60*V3/$B$15,"")</f>
        <v>3.5255999999999998</v>
      </c>
      <c r="Z3" s="3" t="str">
        <f ca="1">IF(SMALL($AC$3:$AC$12,1)=AC3,"1","")</f>
        <v/>
      </c>
      <c r="AA3">
        <f>H4</f>
        <v>54.326619000000001</v>
      </c>
      <c r="AB3" s="82">
        <f>G4</f>
        <v>10.135704</v>
      </c>
      <c r="AC3" s="70">
        <f ca="1">G_DISTANCE(F4, $M$3)</f>
        <v>2.109</v>
      </c>
      <c r="AD3" s="69">
        <f ca="1">IF((AC3&lt;&gt;0),$B$20+60*AC3/$B$21,"")</f>
        <v>5.3339130434782609</v>
      </c>
      <c r="AF3" s="3" t="str">
        <f ca="1">IF(SMALL($AJ$3:$AJ$24,1)=AJ3,"1","")</f>
        <v/>
      </c>
      <c r="AG3" s="3" t="str">
        <f ca="1">IF(SMALL($AJ$3:$AJ$24,2)=AJ3,"2","")</f>
        <v/>
      </c>
      <c r="AH3">
        <f>H4</f>
        <v>54.326619000000001</v>
      </c>
      <c r="AI3">
        <f>G4</f>
        <v>10.135704</v>
      </c>
      <c r="AJ3" s="70">
        <f ca="1">IF(AK3&lt;1,G_DISTANCE(I4, $M$3),"")</f>
        <v>1.379</v>
      </c>
      <c r="AK3" s="3">
        <f t="shared" ref="AK3:AK24" ca="1" si="9">((ABS(H4-$L$3)*$B$7)^$B$10+(ABS(G4-$K$3)*$B$8)^$B$10)^(1/$B$10)</f>
        <v>0.92679346719451572</v>
      </c>
      <c r="AL3" s="19">
        <f t="shared" ref="AL3:AL24" ca="1" si="10">IF((AJ3&lt;&gt;""),$B$17+2*60*AJ3/$B$14,"")</f>
        <v>21.184999999999999</v>
      </c>
      <c r="AN3" s="3">
        <v>1</v>
      </c>
      <c r="AO3" s="3" t="str">
        <f ca="1">IF(SMALL($AV$3:$AV$52,1)=AV3,"1","")</f>
        <v/>
      </c>
      <c r="AP3" s="3" t="str">
        <f ca="1">IF(SMALL($AV$3:$AV$52,2)=AV3,"2","")</f>
        <v/>
      </c>
      <c r="AQ3" s="3" t="str">
        <f ca="1">IF(SMALL($AV$3:$AV$52,3)=AV3,"3","")</f>
        <v/>
      </c>
      <c r="AR3" s="3">
        <f t="shared" ref="AR3:AR12" ca="1" si="11">IF(AN3&lt;=$B$12,$B$4+($B$6-$B$4)*RAND(),NA())</f>
        <v>10.132012089304206</v>
      </c>
      <c r="AS3" s="4">
        <f t="shared" ref="AS3:AS12" ca="1" si="12">IF(AN3&lt;=$B$12,$B$3+($B$5-$B$3)*RAND(),NA())</f>
        <v>54.32398998646952</v>
      </c>
      <c r="AT3" s="3">
        <f t="shared" ref="AT3:AT32" ca="1" si="13">IF(RAND()&lt;$B$19,1,0)</f>
        <v>1</v>
      </c>
      <c r="AU3" s="3" t="str">
        <f t="shared" ref="AU3:AU32" ca="1" si="14">AS3&amp;", "&amp;AR3</f>
        <v>54.3239899864695, 10.1320120893042</v>
      </c>
      <c r="AV3" s="70" t="str">
        <f ca="1">IF(AW3&lt;0.5,G_DISTANCE(AU3, $M$3),"")</f>
        <v/>
      </c>
      <c r="AW3" s="3">
        <f ca="1">IF(AN3&lt;=$B$13,((ABS(AS3-$L$3)*$B$7)^$B$10+(ABS(AR3-$K$3)*$B$8)^$B$10)^(1/$B$10),"")</f>
        <v>0.54979256390114306</v>
      </c>
      <c r="AX3" s="3" t="str">
        <f ca="1">IF((AT3=1)*AND(AV3&lt;&gt;""),$B$17+60*AV3/$B$14,"")</f>
        <v/>
      </c>
      <c r="BA3" s="55" t="s">
        <v>8</v>
      </c>
      <c r="BB3" s="56" t="s">
        <v>9</v>
      </c>
      <c r="BC3" s="56" t="s">
        <v>43</v>
      </c>
      <c r="BD3" s="13" t="s">
        <v>68</v>
      </c>
      <c r="BE3" s="13" t="s">
        <v>67</v>
      </c>
    </row>
    <row r="4" spans="1:57" ht="15" thickBot="1" x14ac:dyDescent="0.35">
      <c r="A4" s="11" t="s">
        <v>17</v>
      </c>
      <c r="B4" s="16">
        <v>10.112</v>
      </c>
      <c r="C4" s="13"/>
      <c r="D4" s="20">
        <v>10.121601</v>
      </c>
      <c r="E4" s="21">
        <v>54.331479999999999</v>
      </c>
      <c r="F4" s="52" t="str">
        <f>E4&amp;", "&amp;D4</f>
        <v>54.33148, 10.121601</v>
      </c>
      <c r="G4" s="34">
        <v>10.135704</v>
      </c>
      <c r="H4" s="32">
        <v>54.326619000000001</v>
      </c>
      <c r="I4" s="32" t="str">
        <f>H4&amp;", "&amp;G4</f>
        <v>54.326619, 10.135704</v>
      </c>
      <c r="N4" s="3">
        <v>2</v>
      </c>
      <c r="O4" s="3" t="str">
        <f t="shared" ca="1" si="0"/>
        <v/>
      </c>
      <c r="P4" s="3" t="str">
        <f t="shared" ca="1" si="1"/>
        <v/>
      </c>
      <c r="Q4" s="3" t="str">
        <f t="shared" ca="1" si="2"/>
        <v/>
      </c>
      <c r="R4" s="3">
        <f t="shared" ca="1" si="3"/>
        <v>10.138440472836585</v>
      </c>
      <c r="S4" s="4">
        <f t="shared" ca="1" si="4"/>
        <v>54.310941021979019</v>
      </c>
      <c r="T4" s="3">
        <f t="shared" ca="1" si="5"/>
        <v>1</v>
      </c>
      <c r="U4" s="3" t="str">
        <f t="shared" ca="1" si="6"/>
        <v>54.310941021979, 10.1384404728366</v>
      </c>
      <c r="V4" s="70">
        <f ca="1">IF(W4&lt;3,G_DISTANCE(U4, $M$3),"&gt;3")</f>
        <v>2.1110000000000002</v>
      </c>
      <c r="W4" s="3">
        <f t="shared" ca="1" si="7"/>
        <v>1.2202324262294406</v>
      </c>
      <c r="X4" s="3">
        <f t="shared" ca="1" si="8"/>
        <v>6.5664000000000007</v>
      </c>
      <c r="Z4" s="3" t="str">
        <f ca="1">IF(SMALL($AC$3:$AC$12,1)=AC4,"1","")</f>
        <v>1</v>
      </c>
      <c r="AA4">
        <f>H5</f>
        <v>54.315931999999997</v>
      </c>
      <c r="AB4" s="82">
        <f>G5</f>
        <v>10.133182</v>
      </c>
      <c r="AC4" s="70">
        <f ca="1">G_DISTANCE(F5, $M$3)</f>
        <v>0.64600000000000002</v>
      </c>
      <c r="AD4" s="69">
        <f ca="1">IF((AC4&lt;&gt;0),$B$20+60*AC4/$B$21,"")</f>
        <v>4.0617391304347823</v>
      </c>
      <c r="AF4" s="3" t="str">
        <f t="shared" ref="AF4:AF24" ca="1" si="15">IF(SMALL($AJ$3:$AJ$24,1)=AJ4,"1","")</f>
        <v/>
      </c>
      <c r="AG4" s="3" t="str">
        <f t="shared" ref="AG4:AG24" ca="1" si="16">IF(SMALL($AJ$3:$AJ$24,2)=AJ4,"2","")</f>
        <v/>
      </c>
      <c r="AH4">
        <f t="shared" ref="AH4:AH24" si="17">H5</f>
        <v>54.315931999999997</v>
      </c>
      <c r="AI4">
        <f t="shared" ref="AI4:AI24" si="18">G5</f>
        <v>10.133182</v>
      </c>
      <c r="AJ4" s="70">
        <f ca="1">IF(AK4&lt;1,G_DISTANCE(I5, $M$3),"")</f>
        <v>0.95</v>
      </c>
      <c r="AK4" s="3">
        <f t="shared" ca="1" si="9"/>
        <v>0.57158480637023046</v>
      </c>
      <c r="AL4" s="19">
        <f t="shared" ca="1" si="10"/>
        <v>14.75</v>
      </c>
      <c r="AN4" s="3">
        <v>2</v>
      </c>
      <c r="AO4" s="3" t="str">
        <f t="shared" ref="AO4:AO52" ca="1" si="19">IF(SMALL($AV$3:$AV$52,1)=AV4,"1","")</f>
        <v/>
      </c>
      <c r="AP4" s="3" t="str">
        <f t="shared" ref="AP4:AP52" ca="1" si="20">IF(SMALL($AV$3:$AV$52,2)=AV4,"2","")</f>
        <v/>
      </c>
      <c r="AQ4" s="3" t="str">
        <f t="shared" ref="AQ4:AQ52" ca="1" si="21">IF(SMALL($AV$3:$AV$52,3)=AV4,"3","")</f>
        <v/>
      </c>
      <c r="AR4" s="3">
        <f t="shared" ca="1" si="11"/>
        <v>10.120356841630713</v>
      </c>
      <c r="AS4" s="4">
        <f t="shared" ca="1" si="12"/>
        <v>54.319894128128723</v>
      </c>
      <c r="AT4" s="3">
        <f t="shared" ca="1" si="13"/>
        <v>1</v>
      </c>
      <c r="AU4" s="3" t="str">
        <f t="shared" ca="1" si="14"/>
        <v>54.3198941281287, 10.1203568416307</v>
      </c>
      <c r="AV4" s="70">
        <f ca="1">IF(AW4&lt;0.5,G_DISTANCE(AU4, $M$3),"")</f>
        <v>0.755</v>
      </c>
      <c r="AW4" s="3">
        <f t="shared" ref="AW4:AW52" ca="1" si="22">IF(AN4&lt;=$B$13,((ABS(AS4-$L$3)*$B$7)^$B$10+(ABS(AR4-$K$3)*$B$8)^$B$10)^(1/$B$10),"")</f>
        <v>0.46208528316996672</v>
      </c>
      <c r="AX4" s="3">
        <f t="shared" ref="AX4:AX52" ca="1" si="23">IF((AT4=1)*AND(AV4&lt;&gt;""),$B$17+60*AV4/$B$14,"")</f>
        <v>6.1624999999999996</v>
      </c>
      <c r="AZ4" s="3" t="str">
        <f ca="1">IF(SMALL($BD$4:$BD$5,1)=BD4,"1","")</f>
        <v/>
      </c>
      <c r="BA4" s="20">
        <v>10.121601</v>
      </c>
      <c r="BB4" s="21">
        <v>54.331479999999999</v>
      </c>
      <c r="BC4" s="52" t="str">
        <f>BB4&amp;", "&amp;BA4</f>
        <v>54.33148, 10.121601</v>
      </c>
      <c r="BD4" s="3">
        <f ca="1">((ABS(BB4-$L$3)*$B$7)^$B$10+(ABS(BA4-$K$3)*$B$8)^$B$10)^(1/$B$10)</f>
        <v>1.3517606040744405</v>
      </c>
      <c r="BE4" s="69">
        <f ca="1">1.5+60*BD4/50</f>
        <v>3.1221127248893286</v>
      </c>
    </row>
    <row r="5" spans="1:57" ht="15" thickBot="1" x14ac:dyDescent="0.35">
      <c r="A5" s="11" t="s">
        <v>18</v>
      </c>
      <c r="B5" s="16">
        <v>54.307000000000002</v>
      </c>
      <c r="C5" s="13"/>
      <c r="D5" s="20">
        <v>10.124955999999999</v>
      </c>
      <c r="E5" s="21">
        <v>54.316555999999999</v>
      </c>
      <c r="F5" s="52" t="str">
        <f>E5&amp;", "&amp;D5</f>
        <v>54.316556, 10.124956</v>
      </c>
      <c r="G5" s="20">
        <v>10.133182</v>
      </c>
      <c r="H5" s="21">
        <v>54.315931999999997</v>
      </c>
      <c r="I5" s="21" t="str">
        <f t="shared" ref="I5:I29" si="24">H5&amp;", "&amp;G5</f>
        <v>54.315932, 10.133182</v>
      </c>
      <c r="N5" s="3">
        <v>3</v>
      </c>
      <c r="O5" s="3" t="str">
        <f t="shared" ca="1" si="0"/>
        <v>1</v>
      </c>
      <c r="P5" s="3" t="str">
        <f t="shared" ca="1" si="1"/>
        <v/>
      </c>
      <c r="Q5" s="3" t="str">
        <f t="shared" ca="1" si="2"/>
        <v/>
      </c>
      <c r="R5" s="3">
        <f t="shared" ca="1" si="3"/>
        <v>10.119097014988983</v>
      </c>
      <c r="S5" s="4">
        <f t="shared" ca="1" si="4"/>
        <v>54.317880243641483</v>
      </c>
      <c r="T5" s="3">
        <f t="shared" ca="1" si="5"/>
        <v>1</v>
      </c>
      <c r="U5" s="3" t="str">
        <f t="shared" ca="1" si="6"/>
        <v>54.3178802436415, 10.119097014989</v>
      </c>
      <c r="V5" s="70">
        <f ca="1">IF(W5&lt;3,G_DISTANCE(U5, $M$3),"&gt;3")</f>
        <v>0.84</v>
      </c>
      <c r="W5" s="3">
        <f t="shared" ca="1" si="7"/>
        <v>0.58561976589532749</v>
      </c>
      <c r="X5" s="3">
        <f t="shared" ca="1" si="8"/>
        <v>3.516</v>
      </c>
      <c r="AF5" s="3" t="str">
        <f t="shared" ca="1" si="15"/>
        <v/>
      </c>
      <c r="AG5" s="3" t="str">
        <f t="shared" ca="1" si="16"/>
        <v/>
      </c>
      <c r="AH5">
        <f t="shared" si="17"/>
        <v>54.313828299999997</v>
      </c>
      <c r="AI5">
        <f t="shared" si="18"/>
        <v>10.1276049</v>
      </c>
      <c r="AJ5" s="70">
        <f ca="1">IF(AK5&lt;1,G_DISTANCE(I6, $M$3),"")</f>
        <v>0.88500000000000001</v>
      </c>
      <c r="AK5" s="3">
        <f t="shared" ca="1" si="9"/>
        <v>0.66796939065788996</v>
      </c>
      <c r="AL5" s="19">
        <f t="shared" ca="1" si="10"/>
        <v>13.775</v>
      </c>
      <c r="AN5" s="3">
        <v>3</v>
      </c>
      <c r="AO5" s="3" t="str">
        <f t="shared" ca="1" si="19"/>
        <v/>
      </c>
      <c r="AP5" s="3" t="str">
        <f t="shared" ca="1" si="20"/>
        <v/>
      </c>
      <c r="AQ5" s="3" t="str">
        <f t="shared" ca="1" si="21"/>
        <v/>
      </c>
      <c r="AR5" s="3">
        <f t="shared" ca="1" si="11"/>
        <v>10.112088012111307</v>
      </c>
      <c r="AS5" s="4">
        <f t="shared" ca="1" si="12"/>
        <v>54.330751236633297</v>
      </c>
      <c r="AT5" s="3">
        <f t="shared" ca="1" si="13"/>
        <v>1</v>
      </c>
      <c r="AU5" s="3" t="str">
        <f t="shared" ca="1" si="14"/>
        <v>54.3307512366333, 10.1120880121113</v>
      </c>
      <c r="AV5" s="70" t="str">
        <f ca="1">IF(AW5&lt;0.5,G_DISTANCE(AU5, $M$3),"")</f>
        <v/>
      </c>
      <c r="AW5" s="3">
        <f t="shared" ca="1" si="22"/>
        <v>1.5741803238495344</v>
      </c>
      <c r="AX5" s="3" t="str">
        <f t="shared" ca="1" si="23"/>
        <v/>
      </c>
      <c r="AZ5" s="3" t="str">
        <f ca="1">IF(SMALL($BD$4:$BD$5,1)=BD5,"1","")</f>
        <v>1</v>
      </c>
      <c r="BA5" s="20">
        <v>10.124955999999999</v>
      </c>
      <c r="BB5" s="21">
        <v>54.316555999999999</v>
      </c>
      <c r="BC5" s="52" t="str">
        <f>BB5&amp;", "&amp;BA5</f>
        <v>54.316556, 10.124956</v>
      </c>
      <c r="BD5" s="3">
        <f ca="1">((ABS(BB5-$L$3)*$B$7)^$B$10+(ABS(BA5-$K$3)*$B$8)^$B$10)^(1/$B$10)</f>
        <v>0.39902142812415758</v>
      </c>
      <c r="BE5" s="69">
        <f ca="1">1.5+60*BD5/50</f>
        <v>1.9788257137489891</v>
      </c>
    </row>
    <row r="6" spans="1:57" ht="15" thickBot="1" x14ac:dyDescent="0.35">
      <c r="A6" s="11" t="s">
        <v>19</v>
      </c>
      <c r="B6" s="16">
        <v>10.148999999999999</v>
      </c>
      <c r="C6" s="13"/>
      <c r="D6" s="20"/>
      <c r="E6" s="21"/>
      <c r="F6" s="52"/>
      <c r="G6" s="20">
        <v>10.1276049</v>
      </c>
      <c r="H6" s="21">
        <v>54.313828299999997</v>
      </c>
      <c r="I6" s="21" t="str">
        <f t="shared" si="24"/>
        <v>54.3138283, 10.1276049</v>
      </c>
      <c r="K6" s="22" t="s">
        <v>20</v>
      </c>
      <c r="L6" s="23"/>
      <c r="N6" s="3">
        <v>4</v>
      </c>
      <c r="O6" s="3" t="str">
        <f t="shared" ca="1" si="0"/>
        <v/>
      </c>
      <c r="P6" s="3" t="str">
        <f t="shared" ca="1" si="1"/>
        <v/>
      </c>
      <c r="Q6" s="3" t="str">
        <f t="shared" ca="1" si="2"/>
        <v/>
      </c>
      <c r="R6" s="3">
        <f t="shared" ca="1" si="3"/>
        <v>10.12634062268563</v>
      </c>
      <c r="S6" s="4">
        <f t="shared" ca="1" si="4"/>
        <v>54.308403837686107</v>
      </c>
      <c r="T6" s="3">
        <f t="shared" ca="1" si="5"/>
        <v>1</v>
      </c>
      <c r="U6" s="3" t="str">
        <f t="shared" ca="1" si="6"/>
        <v>54.3084038376861, 10.1263406226856</v>
      </c>
      <c r="V6" s="70">
        <f ca="1">IF(W6&lt;3,G_DISTANCE(U6, $M$3),"&gt;3")</f>
        <v>1.5129999999999999</v>
      </c>
      <c r="W6" s="3">
        <f t="shared" ca="1" si="7"/>
        <v>1.2737860810091821</v>
      </c>
      <c r="X6" s="3">
        <f t="shared" ca="1" si="8"/>
        <v>5.1311999999999998</v>
      </c>
      <c r="AF6" s="3" t="str">
        <f t="shared" ca="1" si="15"/>
        <v/>
      </c>
      <c r="AG6" s="3" t="str">
        <f t="shared" ca="1" si="16"/>
        <v>2</v>
      </c>
      <c r="AH6">
        <f t="shared" si="17"/>
        <v>54.315857000000001</v>
      </c>
      <c r="AI6">
        <f t="shared" si="18"/>
        <v>10.124980000000001</v>
      </c>
      <c r="AJ6" s="70">
        <f ca="1">IF(AK6&lt;1,G_DISTANCE(I7, $M$3),"")</f>
        <v>0.69899999999999995</v>
      </c>
      <c r="AK6" s="3">
        <f t="shared" ca="1" si="9"/>
        <v>0.47058732388867902</v>
      </c>
      <c r="AL6" s="19">
        <f t="shared" ca="1" si="10"/>
        <v>10.984999999999999</v>
      </c>
      <c r="AN6" s="3">
        <v>4</v>
      </c>
      <c r="AO6" s="3" t="str">
        <f t="shared" ca="1" si="19"/>
        <v/>
      </c>
      <c r="AP6" s="3" t="str">
        <f t="shared" ca="1" si="20"/>
        <v/>
      </c>
      <c r="AQ6" s="3" t="str">
        <f t="shared" ca="1" si="21"/>
        <v/>
      </c>
      <c r="AR6" s="3">
        <f t="shared" ca="1" si="11"/>
        <v>10.147341346697941</v>
      </c>
      <c r="AS6" s="4">
        <f t="shared" ca="1" si="12"/>
        <v>54.310133839892892</v>
      </c>
      <c r="AT6" s="3">
        <f t="shared" ca="1" si="13"/>
        <v>1</v>
      </c>
      <c r="AU6" s="3" t="str">
        <f t="shared" ca="1" si="14"/>
        <v>54.3101338398929, 10.1473413466979</v>
      </c>
      <c r="AV6" s="70" t="str">
        <f ca="1">IF(AW6&lt;0.5,G_DISTANCE(AU6, $M$3),"")</f>
        <v/>
      </c>
      <c r="AW6" s="3">
        <f t="shared" ca="1" si="22"/>
        <v>1.6844250331711446</v>
      </c>
      <c r="AX6" s="3" t="str">
        <f t="shared" ca="1" si="23"/>
        <v/>
      </c>
      <c r="BA6" s="20"/>
      <c r="BB6" s="21"/>
      <c r="BC6" s="52"/>
    </row>
    <row r="7" spans="1:57" ht="15" thickBot="1" x14ac:dyDescent="0.35">
      <c r="A7" s="11" t="s">
        <v>21</v>
      </c>
      <c r="B7" s="24">
        <f>111.13292-0.55982*COS((2*B3*PI())/180)+0.001175*COS(4*B3*PI()/180)-0.0000023*COS(6*B3*PI()/180)</f>
        <v>111.31115467562157</v>
      </c>
      <c r="C7" s="13"/>
      <c r="D7" s="20"/>
      <c r="E7" s="21"/>
      <c r="F7" s="52"/>
      <c r="G7" s="20">
        <v>10.124980000000001</v>
      </c>
      <c r="H7" s="21">
        <v>54.315857000000001</v>
      </c>
      <c r="I7" s="21" t="str">
        <f t="shared" si="24"/>
        <v>54.315857, 10.12498</v>
      </c>
      <c r="K7" s="25" t="s">
        <v>8</v>
      </c>
      <c r="L7" s="26" t="s">
        <v>9</v>
      </c>
      <c r="N7" s="3">
        <v>5</v>
      </c>
      <c r="O7" s="3" t="str">
        <f t="shared" ca="1" si="0"/>
        <v/>
      </c>
      <c r="P7" s="3" t="str">
        <f t="shared" ca="1" si="1"/>
        <v/>
      </c>
      <c r="Q7" s="3" t="str">
        <f t="shared" ca="1" si="2"/>
        <v/>
      </c>
      <c r="R7" s="3">
        <f t="shared" ca="1" si="3"/>
        <v>10.112594946020208</v>
      </c>
      <c r="S7" s="4">
        <f t="shared" ca="1" si="4"/>
        <v>54.32546485252066</v>
      </c>
      <c r="T7" s="3">
        <f t="shared" ca="1" si="5"/>
        <v>1</v>
      </c>
      <c r="U7" s="3" t="str">
        <f t="shared" ca="1" si="6"/>
        <v>54.3254648525207, 10.1125949460202</v>
      </c>
      <c r="V7" s="70">
        <f ca="1">IF(W7&lt;3,G_DISTANCE(U7, $M$3),"&gt;3")</f>
        <v>1.6839999999999999</v>
      </c>
      <c r="W7" s="3">
        <f t="shared" ca="1" si="7"/>
        <v>1.1526451063377861</v>
      </c>
      <c r="X7" s="3">
        <f t="shared" ca="1" si="8"/>
        <v>5.5415999999999999</v>
      </c>
      <c r="AF7" s="3" t="str">
        <f t="shared" ca="1" si="15"/>
        <v/>
      </c>
      <c r="AG7" s="3" t="str">
        <f t="shared" ca="1" si="16"/>
        <v/>
      </c>
      <c r="AH7">
        <f t="shared" si="17"/>
        <v>54.330840000000002</v>
      </c>
      <c r="AI7">
        <f t="shared" si="18"/>
        <v>10.126620000000001</v>
      </c>
      <c r="AJ7" s="70" t="str">
        <f ca="1">IF(AK7&lt;1,G_DISTANCE(I8, $M$3),"")</f>
        <v/>
      </c>
      <c r="AK7" s="3">
        <f t="shared" ca="1" si="9"/>
        <v>1.2269052494395329</v>
      </c>
      <c r="AL7" s="19" t="str">
        <f t="shared" ca="1" si="10"/>
        <v/>
      </c>
      <c r="AN7" s="3">
        <v>5</v>
      </c>
      <c r="AO7" s="3" t="str">
        <f t="shared" ca="1" si="19"/>
        <v/>
      </c>
      <c r="AP7" s="3" t="str">
        <f t="shared" ca="1" si="20"/>
        <v/>
      </c>
      <c r="AQ7" s="3" t="str">
        <f t="shared" ca="1" si="21"/>
        <v/>
      </c>
      <c r="AR7" s="3">
        <f t="shared" ca="1" si="11"/>
        <v>10.126595221965406</v>
      </c>
      <c r="AS7" s="4">
        <f t="shared" ca="1" si="12"/>
        <v>54.325007734965872</v>
      </c>
      <c r="AT7" s="3">
        <f t="shared" ca="1" si="13"/>
        <v>1</v>
      </c>
      <c r="AU7" s="3" t="str">
        <f t="shared" ca="1" si="14"/>
        <v>54.3250077349659, 10.1265952219654</v>
      </c>
      <c r="AV7" s="70" t="str">
        <f ca="1">IF(AW7&lt;0.5,G_DISTANCE(AU7, $M$3),"")</f>
        <v/>
      </c>
      <c r="AW7" s="3">
        <f t="shared" ca="1" si="22"/>
        <v>0.57922767442946121</v>
      </c>
      <c r="AX7" s="3" t="str">
        <f t="shared" ca="1" si="23"/>
        <v/>
      </c>
      <c r="BA7" s="20"/>
      <c r="BB7" s="21"/>
      <c r="BC7" s="52"/>
    </row>
    <row r="8" spans="1:57" ht="15" thickBot="1" x14ac:dyDescent="0.35">
      <c r="A8" s="11" t="s">
        <v>22</v>
      </c>
      <c r="B8" s="24">
        <f>111.41284*COS(B3*PI()/180)-0.0935*COS(3*B3*PI()/180)+0.000118*COS(5*B3*PI()/180)</f>
        <v>65.051279538192716</v>
      </c>
      <c r="C8" s="13"/>
      <c r="D8" s="20"/>
      <c r="E8" s="21"/>
      <c r="F8" s="52"/>
      <c r="G8" s="20">
        <v>10.126620000000001</v>
      </c>
      <c r="H8" s="21">
        <v>54.330840000000002</v>
      </c>
      <c r="I8" s="21" t="str">
        <f t="shared" si="24"/>
        <v>54.33084, 10.12662</v>
      </c>
      <c r="K8" s="27"/>
      <c r="L8" s="28"/>
      <c r="N8" s="3">
        <v>6</v>
      </c>
      <c r="O8" s="3" t="str">
        <f t="shared" ca="1" si="0"/>
        <v/>
      </c>
      <c r="P8" s="3" t="str">
        <f t="shared" ca="1" si="1"/>
        <v/>
      </c>
      <c r="Q8" s="3" t="str">
        <f t="shared" ca="1" si="2"/>
        <v>3</v>
      </c>
      <c r="R8" s="3">
        <f t="shared" ca="1" si="3"/>
        <v>10.117957030625529</v>
      </c>
      <c r="S8" s="4">
        <f t="shared" ca="1" si="4"/>
        <v>54.325610164258308</v>
      </c>
      <c r="T8" s="3">
        <f t="shared" ca="1" si="5"/>
        <v>1</v>
      </c>
      <c r="U8" s="3" t="str">
        <f t="shared" ca="1" si="6"/>
        <v>54.3256101642583, 10.1179570306255</v>
      </c>
      <c r="V8" s="70">
        <f ca="1">IF(W8&lt;3,G_DISTANCE(U8, $M$3),"&gt;3")</f>
        <v>1.1459999999999999</v>
      </c>
      <c r="W8" s="3">
        <f t="shared" ca="1" si="7"/>
        <v>0.89232989174121491</v>
      </c>
      <c r="X8" s="3">
        <f t="shared" ca="1" si="8"/>
        <v>4.2503999999999991</v>
      </c>
      <c r="AF8" s="3" t="str">
        <f t="shared" ca="1" si="15"/>
        <v/>
      </c>
      <c r="AG8" s="3" t="str">
        <f t="shared" ca="1" si="16"/>
        <v/>
      </c>
      <c r="AH8">
        <f t="shared" si="17"/>
        <v>54.319108</v>
      </c>
      <c r="AI8">
        <f t="shared" si="18"/>
        <v>10.11275</v>
      </c>
      <c r="AJ8" s="70">
        <f ca="1">IF(AK8&lt;1,G_DISTANCE(I9, $M$3),"")</f>
        <v>1.952</v>
      </c>
      <c r="AK8" s="3">
        <f t="shared" ca="1" si="9"/>
        <v>0.96021871520594948</v>
      </c>
      <c r="AL8" s="19">
        <f t="shared" ca="1" si="10"/>
        <v>29.78</v>
      </c>
      <c r="AN8" s="3">
        <v>6</v>
      </c>
      <c r="AO8" s="3" t="str">
        <f t="shared" ca="1" si="19"/>
        <v/>
      </c>
      <c r="AP8" s="3" t="str">
        <f t="shared" ca="1" si="20"/>
        <v/>
      </c>
      <c r="AQ8" s="3" t="str">
        <f t="shared" ca="1" si="21"/>
        <v/>
      </c>
      <c r="AR8" s="3">
        <f t="shared" ca="1" si="11"/>
        <v>10.12699135084673</v>
      </c>
      <c r="AS8" s="4">
        <f t="shared" ca="1" si="12"/>
        <v>54.307775619471535</v>
      </c>
      <c r="AT8" s="3">
        <f t="shared" ca="1" si="13"/>
        <v>1</v>
      </c>
      <c r="AU8" s="3" t="str">
        <f t="shared" ca="1" si="14"/>
        <v>54.3077756194715, 10.1269913508467</v>
      </c>
      <c r="AV8" s="70" t="str">
        <f ca="1">IF(AW8&lt;0.5,G_DISTANCE(AU8, $M$3),"")</f>
        <v/>
      </c>
      <c r="AW8" s="3">
        <f t="shared" ca="1" si="22"/>
        <v>1.3419785275511087</v>
      </c>
      <c r="AX8" s="3" t="str">
        <f t="shared" ca="1" si="23"/>
        <v/>
      </c>
      <c r="BA8" s="20"/>
      <c r="BB8" s="21"/>
      <c r="BC8" s="52"/>
    </row>
    <row r="9" spans="1:57" ht="15" thickBot="1" x14ac:dyDescent="0.35">
      <c r="A9" s="11" t="s">
        <v>23</v>
      </c>
      <c r="B9" s="16">
        <v>2</v>
      </c>
      <c r="C9" s="13"/>
      <c r="D9" s="35"/>
      <c r="E9" s="36"/>
      <c r="F9" s="53"/>
      <c r="G9" s="20">
        <v>10.11275</v>
      </c>
      <c r="H9" s="21">
        <v>54.319108</v>
      </c>
      <c r="I9" s="21" t="str">
        <f t="shared" si="24"/>
        <v>54.319108, 10.11275</v>
      </c>
      <c r="K9" s="27"/>
      <c r="L9" s="28"/>
      <c r="N9" s="3">
        <v>7</v>
      </c>
      <c r="O9" s="3" t="str">
        <f t="shared" ca="1" si="0"/>
        <v/>
      </c>
      <c r="P9" s="3" t="str">
        <f t="shared" ca="1" si="1"/>
        <v/>
      </c>
      <c r="Q9" s="3" t="str">
        <f t="shared" ca="1" si="2"/>
        <v/>
      </c>
      <c r="R9" s="3">
        <f t="shared" ca="1" si="3"/>
        <v>10.144972795123714</v>
      </c>
      <c r="S9" s="4">
        <f t="shared" ca="1" si="4"/>
        <v>54.313505490880097</v>
      </c>
      <c r="T9" s="3">
        <f t="shared" ca="1" si="5"/>
        <v>1</v>
      </c>
      <c r="U9" s="3" t="str">
        <f t="shared" ca="1" si="6"/>
        <v>54.3135054908801, 10.1449727951237</v>
      </c>
      <c r="V9" s="70">
        <f ca="1">IF(W9&lt;3,G_DISTANCE(U9, $M$3),"&gt;3")</f>
        <v>2.7949999999999999</v>
      </c>
      <c r="W9" s="3">
        <f t="shared" ca="1" si="7"/>
        <v>1.3391499859600871</v>
      </c>
      <c r="X9" s="3">
        <f t="shared" ca="1" si="8"/>
        <v>8.2079999999999984</v>
      </c>
      <c r="AF9" s="3" t="str">
        <f t="shared" ca="1" si="15"/>
        <v/>
      </c>
      <c r="AG9" s="3" t="str">
        <f t="shared" ca="1" si="16"/>
        <v/>
      </c>
      <c r="AH9">
        <f t="shared" si="17"/>
        <v>54.332897000000003</v>
      </c>
      <c r="AI9">
        <f t="shared" si="18"/>
        <v>10.115975000000001</v>
      </c>
      <c r="AJ9" s="70" t="str">
        <f ca="1">IF(AK9&lt;1,G_DISTANCE(I10, $M$3),"")</f>
        <v/>
      </c>
      <c r="AK9" s="3">
        <f t="shared" ca="1" si="9"/>
        <v>1.6352807042482269</v>
      </c>
      <c r="AL9" s="19" t="str">
        <f t="shared" ca="1" si="10"/>
        <v/>
      </c>
      <c r="AN9" s="3">
        <v>7</v>
      </c>
      <c r="AO9" s="3" t="str">
        <f t="shared" ca="1" si="19"/>
        <v/>
      </c>
      <c r="AP9" s="3" t="str">
        <f t="shared" ca="1" si="20"/>
        <v/>
      </c>
      <c r="AQ9" s="3" t="str">
        <f t="shared" ca="1" si="21"/>
        <v/>
      </c>
      <c r="AR9" s="3">
        <f t="shared" ca="1" si="11"/>
        <v>10.117796236250788</v>
      </c>
      <c r="AS9" s="4">
        <f t="shared" ca="1" si="12"/>
        <v>54.314669839907125</v>
      </c>
      <c r="AT9" s="3">
        <f t="shared" ca="1" si="13"/>
        <v>1</v>
      </c>
      <c r="AU9" s="3" t="str">
        <f t="shared" ca="1" si="14"/>
        <v>54.3146698399071, 10.1177962362508</v>
      </c>
      <c r="AV9" s="70" t="str">
        <f ca="1">IF(AW9&lt;0.5,G_DISTANCE(AU9, $M$3),"")</f>
        <v/>
      </c>
      <c r="AW9" s="3">
        <f t="shared" ca="1" si="22"/>
        <v>0.85139619382701659</v>
      </c>
      <c r="AX9" s="3" t="str">
        <f t="shared" ca="1" si="23"/>
        <v/>
      </c>
      <c r="BA9" s="35"/>
      <c r="BB9" s="36"/>
      <c r="BC9" s="53"/>
    </row>
    <row r="10" spans="1:57" ht="15" thickBot="1" x14ac:dyDescent="0.35">
      <c r="A10" s="11" t="s">
        <v>24</v>
      </c>
      <c r="B10" s="16">
        <v>2</v>
      </c>
      <c r="C10" s="13"/>
      <c r="D10" s="57"/>
      <c r="E10" s="58"/>
      <c r="F10" s="37"/>
      <c r="G10" s="20">
        <v>10.115975000000001</v>
      </c>
      <c r="H10" s="21">
        <v>54.332897000000003</v>
      </c>
      <c r="I10" s="21" t="str">
        <f t="shared" si="24"/>
        <v>54.332897, 10.115975</v>
      </c>
      <c r="K10" s="27"/>
      <c r="L10" s="28"/>
      <c r="N10" s="3">
        <v>8</v>
      </c>
      <c r="O10" s="3" t="str">
        <f t="shared" ca="1" si="0"/>
        <v/>
      </c>
      <c r="P10" s="3" t="str">
        <f t="shared" ca="1" si="1"/>
        <v/>
      </c>
      <c r="Q10" s="3" t="str">
        <f t="shared" ca="1" si="2"/>
        <v/>
      </c>
      <c r="R10" s="3">
        <f t="shared" ca="1" si="3"/>
        <v>10.14183666854751</v>
      </c>
      <c r="S10" s="4">
        <f t="shared" ca="1" si="4"/>
        <v>54.328287394167589</v>
      </c>
      <c r="T10" s="3">
        <f t="shared" ca="1" si="5"/>
        <v>1</v>
      </c>
      <c r="U10" s="3" t="str">
        <f t="shared" ca="1" si="6"/>
        <v>54.3282873941676, 10.1418366685475</v>
      </c>
      <c r="V10" s="70">
        <f ca="1">IF(W10&lt;3,G_DISTANCE(U10, $M$3),"&gt;3")</f>
        <v>2.2389999999999999</v>
      </c>
      <c r="W10" s="3">
        <f t="shared" ca="1" si="7"/>
        <v>1.3271186632298251</v>
      </c>
      <c r="X10" s="3">
        <f t="shared" ca="1" si="8"/>
        <v>6.8735999999999997</v>
      </c>
      <c r="AF10" s="3" t="str">
        <f t="shared" ca="1" si="15"/>
        <v/>
      </c>
      <c r="AG10" s="3" t="str">
        <f t="shared" ca="1" si="16"/>
        <v/>
      </c>
      <c r="AH10">
        <f t="shared" si="17"/>
        <v>54.316687000000002</v>
      </c>
      <c r="AI10">
        <f t="shared" si="18"/>
        <v>10.131194000000001</v>
      </c>
      <c r="AJ10" s="70">
        <f ca="1">IF(AK10&lt;1,G_DISTANCE(I11, $M$3),"")</f>
        <v>0.84699999999999998</v>
      </c>
      <c r="AK10" s="3">
        <f t="shared" ca="1" si="9"/>
        <v>0.42580452261639024</v>
      </c>
      <c r="AL10" s="19">
        <f t="shared" ca="1" si="10"/>
        <v>13.205</v>
      </c>
      <c r="AN10" s="3">
        <v>8</v>
      </c>
      <c r="AO10" s="3" t="str">
        <f t="shared" ca="1" si="19"/>
        <v/>
      </c>
      <c r="AP10" s="3" t="str">
        <f t="shared" ca="1" si="20"/>
        <v/>
      </c>
      <c r="AQ10" s="3" t="str">
        <f t="shared" ca="1" si="21"/>
        <v/>
      </c>
      <c r="AR10" s="3">
        <f t="shared" ca="1" si="11"/>
        <v>10.140824676090521</v>
      </c>
      <c r="AS10" s="4">
        <f t="shared" ca="1" si="12"/>
        <v>54.316914951561273</v>
      </c>
      <c r="AT10" s="3">
        <f t="shared" ca="1" si="13"/>
        <v>1</v>
      </c>
      <c r="AU10" s="3" t="str">
        <f t="shared" ca="1" si="14"/>
        <v>54.3169149515613, 10.1408246760905</v>
      </c>
      <c r="AV10" s="70" t="str">
        <f ca="1">IF(AW10&lt;0.5,G_DISTANCE(AU10, $M$3),"")</f>
        <v/>
      </c>
      <c r="AW10" s="3">
        <f t="shared" ca="1" si="22"/>
        <v>0.92795267060492681</v>
      </c>
      <c r="AX10" s="3" t="str">
        <f t="shared" ca="1" si="23"/>
        <v/>
      </c>
    </row>
    <row r="11" spans="1:57" ht="15" thickBot="1" x14ac:dyDescent="0.35">
      <c r="A11" s="29"/>
      <c r="B11" s="30"/>
      <c r="C11" s="13"/>
      <c r="D11" s="57"/>
      <c r="E11" s="58"/>
      <c r="F11" s="37"/>
      <c r="G11" s="20">
        <v>10.131194000000001</v>
      </c>
      <c r="H11" s="21">
        <v>54.316687000000002</v>
      </c>
      <c r="I11" s="21" t="str">
        <f t="shared" si="24"/>
        <v>54.316687, 10.131194</v>
      </c>
      <c r="K11" s="25"/>
      <c r="L11" s="26"/>
      <c r="N11" s="3">
        <v>9</v>
      </c>
      <c r="O11" s="3" t="str">
        <f t="shared" ca="1" si="0"/>
        <v/>
      </c>
      <c r="P11" s="3" t="str">
        <f t="shared" ca="1" si="1"/>
        <v/>
      </c>
      <c r="Q11" s="3" t="str">
        <f t="shared" ca="1" si="2"/>
        <v/>
      </c>
      <c r="R11" s="3">
        <f t="shared" ca="1" si="3"/>
        <v>10.129707406182654</v>
      </c>
      <c r="S11" s="4">
        <f t="shared" ca="1" si="4"/>
        <v>54.312055414573052</v>
      </c>
      <c r="T11" s="3">
        <f t="shared" ca="1" si="5"/>
        <v>1</v>
      </c>
      <c r="U11" s="3" t="str">
        <f t="shared" ca="1" si="6"/>
        <v>54.3120554145731, 10.1297074061827</v>
      </c>
      <c r="V11" s="70">
        <f ca="1">IF(W11&lt;3,G_DISTANCE(U11, $M$3),"&gt;3")</f>
        <v>1.222</v>
      </c>
      <c r="W11" s="3">
        <f t="shared" ca="1" si="7"/>
        <v>0.87751537470420438</v>
      </c>
      <c r="X11" s="3">
        <f t="shared" ca="1" si="8"/>
        <v>4.4328000000000003</v>
      </c>
      <c r="AF11" s="3" t="str">
        <f t="shared" ca="1" si="15"/>
        <v/>
      </c>
      <c r="AG11" s="3" t="str">
        <f t="shared" ca="1" si="16"/>
        <v/>
      </c>
      <c r="AH11">
        <f t="shared" si="17"/>
        <v>54.327176000000001</v>
      </c>
      <c r="AI11">
        <f t="shared" si="18"/>
        <v>10.128852999999999</v>
      </c>
      <c r="AJ11" s="70">
        <f ca="1">IF(AK11&lt;1,G_DISTANCE(I12, $M$3),"")</f>
        <v>1.0209999999999999</v>
      </c>
      <c r="AK11" s="3">
        <f t="shared" ca="1" si="9"/>
        <v>0.8228550026234509</v>
      </c>
      <c r="AL11" s="19">
        <f t="shared" ca="1" si="10"/>
        <v>15.814999999999998</v>
      </c>
      <c r="AN11" s="3">
        <v>9</v>
      </c>
      <c r="AO11" s="3" t="str">
        <f t="shared" ca="1" si="19"/>
        <v/>
      </c>
      <c r="AP11" s="3" t="str">
        <f t="shared" ca="1" si="20"/>
        <v/>
      </c>
      <c r="AQ11" s="3" t="str">
        <f t="shared" ca="1" si="21"/>
        <v/>
      </c>
      <c r="AR11" s="3">
        <f t="shared" ca="1" si="11"/>
        <v>10.138286043816754</v>
      </c>
      <c r="AS11" s="4">
        <f t="shared" ca="1" si="12"/>
        <v>54.32850865148778</v>
      </c>
      <c r="AT11" s="3">
        <f t="shared" ca="1" si="13"/>
        <v>1</v>
      </c>
      <c r="AU11" s="3" t="str">
        <f t="shared" ca="1" si="14"/>
        <v>54.3285086514878, 10.1382860438168</v>
      </c>
      <c r="AV11" s="70" t="str">
        <f ca="1">IF(AW11&lt;0.5,G_DISTANCE(AU11, $M$3),"")</f>
        <v/>
      </c>
      <c r="AW11" s="3">
        <f t="shared" ca="1" si="22"/>
        <v>1.1956323748625208</v>
      </c>
      <c r="AX11" s="3" t="str">
        <f t="shared" ca="1" si="23"/>
        <v/>
      </c>
    </row>
    <row r="12" spans="1:57" ht="15" thickBot="1" x14ac:dyDescent="0.35">
      <c r="A12" s="11" t="s">
        <v>39</v>
      </c>
      <c r="B12" s="16">
        <v>10</v>
      </c>
      <c r="C12" s="13"/>
      <c r="D12" s="57"/>
      <c r="E12" s="58"/>
      <c r="F12" s="37"/>
      <c r="G12" s="20">
        <v>10.128852999999999</v>
      </c>
      <c r="H12" s="21">
        <v>54.327176000000001</v>
      </c>
      <c r="I12" s="21" t="str">
        <f t="shared" si="24"/>
        <v>54.327176, 10.128853</v>
      </c>
      <c r="N12" s="3">
        <v>10</v>
      </c>
      <c r="O12" s="3" t="str">
        <f t="shared" ca="1" si="0"/>
        <v/>
      </c>
      <c r="P12" s="3" t="str">
        <f t="shared" ca="1" si="1"/>
        <v/>
      </c>
      <c r="Q12" s="3" t="str">
        <f t="shared" ca="1" si="2"/>
        <v/>
      </c>
      <c r="R12" s="3">
        <f t="shared" ca="1" si="3"/>
        <v>10.137050267482632</v>
      </c>
      <c r="S12" s="4">
        <f t="shared" ca="1" si="4"/>
        <v>54.311092789126818</v>
      </c>
      <c r="T12" s="3">
        <f t="shared" ca="1" si="5"/>
        <v>1</v>
      </c>
      <c r="U12" s="3" t="str">
        <f t="shared" ca="1" si="6"/>
        <v>54.3110927891268, 10.1370502674826</v>
      </c>
      <c r="V12" s="70">
        <f ca="1">IF(W12&lt;3,G_DISTANCE(U12, $M$3),"&gt;3")</f>
        <v>2.3450000000000002</v>
      </c>
      <c r="W12" s="3">
        <f t="shared" ca="1" si="7"/>
        <v>1.155337515064812</v>
      </c>
      <c r="X12" s="3">
        <f t="shared" ca="1" si="8"/>
        <v>7.128000000000001</v>
      </c>
      <c r="AF12" s="3" t="str">
        <f t="shared" ca="1" si="15"/>
        <v/>
      </c>
      <c r="AG12" s="3" t="str">
        <f t="shared" ca="1" si="16"/>
        <v/>
      </c>
      <c r="AH12">
        <f t="shared" si="17"/>
        <v>54.328342999999997</v>
      </c>
      <c r="AI12">
        <f t="shared" si="18"/>
        <v>10.14598</v>
      </c>
      <c r="AJ12" s="70" t="str">
        <f ca="1">IF(AK12&lt;1,G_DISTANCE(I13, $M$3),"")</f>
        <v/>
      </c>
      <c r="AK12" s="3">
        <f t="shared" ca="1" si="9"/>
        <v>1.5328876374721969</v>
      </c>
      <c r="AL12" s="19" t="str">
        <f t="shared" ca="1" si="10"/>
        <v/>
      </c>
      <c r="AN12" s="3">
        <v>10</v>
      </c>
      <c r="AO12" s="3" t="str">
        <f t="shared" ca="1" si="19"/>
        <v/>
      </c>
      <c r="AP12" s="3" t="str">
        <f t="shared" ca="1" si="20"/>
        <v/>
      </c>
      <c r="AQ12" s="3" t="str">
        <f t="shared" ca="1" si="21"/>
        <v/>
      </c>
      <c r="AR12" s="3">
        <f t="shared" ca="1" si="11"/>
        <v>10.121179402086264</v>
      </c>
      <c r="AS12" s="4">
        <f t="shared" ca="1" si="12"/>
        <v>54.313644774839474</v>
      </c>
      <c r="AT12" s="3">
        <f t="shared" ca="1" si="13"/>
        <v>1</v>
      </c>
      <c r="AU12" s="3" t="str">
        <f t="shared" ca="1" si="14"/>
        <v>54.3136447748395, 10.1211794020863</v>
      </c>
      <c r="AV12" s="70" t="str">
        <f ca="1">IF(AW12&lt;0.5,G_DISTANCE(AU12, $M$3),"")</f>
        <v/>
      </c>
      <c r="AW12" s="3">
        <f t="shared" ca="1" si="22"/>
        <v>0.80042927049332591</v>
      </c>
      <c r="AX12" s="3" t="str">
        <f t="shared" ca="1" si="23"/>
        <v/>
      </c>
    </row>
    <row r="13" spans="1:57" ht="15" thickBot="1" x14ac:dyDescent="0.35">
      <c r="A13" s="11" t="s">
        <v>64</v>
      </c>
      <c r="B13" s="16">
        <v>50</v>
      </c>
      <c r="C13" s="13"/>
      <c r="D13" s="57"/>
      <c r="E13" s="58"/>
      <c r="F13" s="37"/>
      <c r="G13" s="20">
        <v>10.14598</v>
      </c>
      <c r="H13" s="21">
        <v>54.328342999999997</v>
      </c>
      <c r="I13" s="21" t="str">
        <f t="shared" si="24"/>
        <v>54.328343, 10.14598</v>
      </c>
      <c r="K13" s="31" t="s">
        <v>26</v>
      </c>
      <c r="L13" s="32"/>
      <c r="N13" s="3">
        <v>11</v>
      </c>
      <c r="O13" s="3"/>
      <c r="P13" s="3"/>
      <c r="Q13" s="3"/>
      <c r="R13" s="3" t="e">
        <f t="shared" ca="1" si="3"/>
        <v>#N/A</v>
      </c>
      <c r="S13" s="4" t="e">
        <f t="shared" ca="1" si="4"/>
        <v>#N/A</v>
      </c>
      <c r="T13" s="3">
        <f t="shared" ca="1" si="5"/>
        <v>1</v>
      </c>
      <c r="U13" s="3" t="e">
        <f t="shared" ref="U13:U32" ca="1" si="25">S13&amp;", "&amp;R13</f>
        <v>#N/A</v>
      </c>
      <c r="W13" s="3" t="str">
        <f t="shared" si="7"/>
        <v/>
      </c>
      <c r="X13" s="3" t="str">
        <f t="shared" ca="1" si="8"/>
        <v/>
      </c>
      <c r="AF13" s="3" t="str">
        <f t="shared" ca="1" si="15"/>
        <v>1</v>
      </c>
      <c r="AG13" s="3" t="str">
        <f t="shared" ca="1" si="16"/>
        <v/>
      </c>
      <c r="AH13">
        <f t="shared" si="17"/>
        <v>54.323089000000003</v>
      </c>
      <c r="AI13">
        <f t="shared" si="18"/>
        <v>10.133305</v>
      </c>
      <c r="AJ13" s="70">
        <f ca="1">IF(AK13&lt;1,G_DISTANCE(I14, $M$3),"")</f>
        <v>0.64</v>
      </c>
      <c r="AK13" s="3">
        <f t="shared" ca="1" si="9"/>
        <v>0.52565323395759289</v>
      </c>
      <c r="AL13" s="19">
        <f t="shared" ca="1" si="10"/>
        <v>10.1</v>
      </c>
      <c r="AN13" s="3">
        <v>11</v>
      </c>
      <c r="AO13" s="3" t="str">
        <f t="shared" ca="1" si="19"/>
        <v/>
      </c>
      <c r="AP13" s="3" t="str">
        <f t="shared" ca="1" si="20"/>
        <v/>
      </c>
      <c r="AQ13" s="3" t="str">
        <f t="shared" ca="1" si="21"/>
        <v/>
      </c>
      <c r="AR13" s="3">
        <f ca="1">IF(AN13&lt;=$B$13,$B$4+($B$6-$B$4)*RAND(),NA())</f>
        <v>10.112950992108528</v>
      </c>
      <c r="AS13" s="4">
        <f ca="1">IF(AN13&lt;=$B$13,$B$3+($B$5-$B$3)*RAND(),NA())</f>
        <v>54.332680717057073</v>
      </c>
      <c r="AT13" s="3">
        <f t="shared" ca="1" si="13"/>
        <v>1</v>
      </c>
      <c r="AU13" s="3" t="str">
        <f t="shared" ca="1" si="14"/>
        <v>54.3326807170571, 10.1129509921085</v>
      </c>
      <c r="AV13" s="70" t="str">
        <f ca="1">IF(AW13&lt;0.5,G_DISTANCE(AU13, $M$3),"")</f>
        <v/>
      </c>
      <c r="AW13" s="3">
        <f t="shared" ca="1" si="22"/>
        <v>1.7138553610604974</v>
      </c>
      <c r="AX13" s="3" t="str">
        <f t="shared" ca="1" si="23"/>
        <v/>
      </c>
    </row>
    <row r="14" spans="1:57" ht="15" thickBot="1" x14ac:dyDescent="0.35">
      <c r="A14" s="11" t="s">
        <v>25</v>
      </c>
      <c r="B14" s="16">
        <v>8</v>
      </c>
      <c r="C14" s="13"/>
      <c r="D14" s="57"/>
      <c r="E14" s="58"/>
      <c r="F14" s="37"/>
      <c r="G14" s="20">
        <v>10.133305</v>
      </c>
      <c r="H14" s="21">
        <v>54.323089000000003</v>
      </c>
      <c r="I14" s="21" t="str">
        <f t="shared" si="24"/>
        <v>54.323089, 10.133305</v>
      </c>
      <c r="K14" s="20" t="s">
        <v>8</v>
      </c>
      <c r="L14" s="21" t="s">
        <v>9</v>
      </c>
      <c r="N14" s="3">
        <v>12</v>
      </c>
      <c r="O14" s="3"/>
      <c r="P14" s="3"/>
      <c r="Q14" s="3"/>
      <c r="R14" s="3" t="e">
        <f t="shared" ca="1" si="3"/>
        <v>#N/A</v>
      </c>
      <c r="S14" s="4" t="e">
        <f t="shared" ca="1" si="4"/>
        <v>#N/A</v>
      </c>
      <c r="T14" s="3">
        <f t="shared" ca="1" si="5"/>
        <v>1</v>
      </c>
      <c r="U14" s="3" t="e">
        <f t="shared" ca="1" si="25"/>
        <v>#N/A</v>
      </c>
      <c r="W14" s="3" t="str">
        <f t="shared" si="7"/>
        <v/>
      </c>
      <c r="X14" s="3" t="str">
        <f t="shared" ca="1" si="8"/>
        <v/>
      </c>
      <c r="AF14" s="3" t="str">
        <f t="shared" ca="1" si="15"/>
        <v/>
      </c>
      <c r="AG14" s="3" t="str">
        <f t="shared" ca="1" si="16"/>
        <v/>
      </c>
      <c r="AH14">
        <f t="shared" si="17"/>
        <v>54.313116000000001</v>
      </c>
      <c r="AI14">
        <f t="shared" si="18"/>
        <v>10.143094</v>
      </c>
      <c r="AJ14" s="70" t="str">
        <f ca="1">IF(AK14&lt;1,G_DISTANCE(I15, $M$3),"")</f>
        <v/>
      </c>
      <c r="AK14" s="3">
        <f t="shared" ca="1" si="9"/>
        <v>1.2620180526243512</v>
      </c>
      <c r="AL14" s="19" t="str">
        <f t="shared" ca="1" si="10"/>
        <v/>
      </c>
      <c r="AN14" s="3">
        <v>12</v>
      </c>
      <c r="AO14" s="3" t="str">
        <f t="shared" ca="1" si="19"/>
        <v/>
      </c>
      <c r="AP14" s="3" t="str">
        <f t="shared" ca="1" si="20"/>
        <v/>
      </c>
      <c r="AQ14" s="3" t="str">
        <f t="shared" ca="1" si="21"/>
        <v/>
      </c>
      <c r="AR14" s="3">
        <f t="shared" ref="AR14:AR52" ca="1" si="26">IF(AN14&lt;=$B$13,$B$4+($B$6-$B$4)*RAND(),NA())</f>
        <v>10.138081529900372</v>
      </c>
      <c r="AS14" s="4">
        <f t="shared" ref="AS14:AS52" ca="1" si="27">IF(AN14&lt;=$B$13,$B$3+($B$5-$B$3)*RAND(),NA())</f>
        <v>54.317148760759679</v>
      </c>
      <c r="AT14" s="3">
        <f t="shared" ca="1" si="13"/>
        <v>1</v>
      </c>
      <c r="AU14" s="3" t="str">
        <f t="shared" ca="1" si="14"/>
        <v>54.3171487607597, 10.1380815299004</v>
      </c>
      <c r="AV14" s="70" t="str">
        <f ca="1">IF(AW14&lt;0.5,G_DISTANCE(AU14, $M$3),"")</f>
        <v/>
      </c>
      <c r="AW14" s="3">
        <f t="shared" ca="1" si="22"/>
        <v>0.75262421176169425</v>
      </c>
      <c r="AX14" s="3" t="str">
        <f t="shared" ca="1" si="23"/>
        <v/>
      </c>
    </row>
    <row r="15" spans="1:57" ht="15" thickBot="1" x14ac:dyDescent="0.35">
      <c r="A15" s="11" t="s">
        <v>40</v>
      </c>
      <c r="B15" s="16">
        <v>25</v>
      </c>
      <c r="C15" s="13"/>
      <c r="D15" s="57"/>
      <c r="E15" s="58"/>
      <c r="F15" s="37"/>
      <c r="G15" s="20">
        <v>10.143094</v>
      </c>
      <c r="H15" s="21">
        <v>54.313116000000001</v>
      </c>
      <c r="I15" s="21" t="str">
        <f t="shared" si="24"/>
        <v>54.313116, 10.143094</v>
      </c>
      <c r="K15" s="34"/>
      <c r="L15" s="32"/>
      <c r="N15" s="3">
        <v>13</v>
      </c>
      <c r="O15" s="3"/>
      <c r="P15" s="3"/>
      <c r="Q15" s="3"/>
      <c r="R15" s="3" t="e">
        <f t="shared" ca="1" si="3"/>
        <v>#N/A</v>
      </c>
      <c r="S15" s="4" t="e">
        <f t="shared" ca="1" si="4"/>
        <v>#N/A</v>
      </c>
      <c r="T15" s="3">
        <f t="shared" ca="1" si="5"/>
        <v>1</v>
      </c>
      <c r="U15" s="3" t="e">
        <f t="shared" ca="1" si="25"/>
        <v>#N/A</v>
      </c>
      <c r="W15" s="3" t="str">
        <f t="shared" si="7"/>
        <v/>
      </c>
      <c r="X15" s="3" t="str">
        <f t="shared" ca="1" si="8"/>
        <v/>
      </c>
      <c r="AF15" s="3" t="str">
        <f t="shared" ca="1" si="15"/>
        <v/>
      </c>
      <c r="AG15" s="3" t="str">
        <f t="shared" ca="1" si="16"/>
        <v/>
      </c>
      <c r="AH15">
        <f t="shared" si="17"/>
        <v>54.309018999999999</v>
      </c>
      <c r="AI15">
        <f t="shared" si="18"/>
        <v>10.113476</v>
      </c>
      <c r="AJ15" s="70" t="str">
        <f ca="1">IF(AK15&lt;1,G_DISTANCE(I16, $M$3),"")</f>
        <v/>
      </c>
      <c r="AK15" s="3">
        <f t="shared" ca="1" si="9"/>
        <v>1.5083770325767161</v>
      </c>
      <c r="AL15" s="19" t="str">
        <f t="shared" ca="1" si="10"/>
        <v/>
      </c>
      <c r="AN15" s="3">
        <v>13</v>
      </c>
      <c r="AO15" s="3" t="str">
        <f t="shared" ca="1" si="19"/>
        <v/>
      </c>
      <c r="AP15" s="3" t="str">
        <f t="shared" ca="1" si="20"/>
        <v/>
      </c>
      <c r="AQ15" s="3" t="str">
        <f t="shared" ca="1" si="21"/>
        <v/>
      </c>
      <c r="AR15" s="3">
        <f t="shared" ca="1" si="26"/>
        <v>10.147354725789027</v>
      </c>
      <c r="AS15" s="4">
        <f t="shared" ca="1" si="27"/>
        <v>54.317049236795555</v>
      </c>
      <c r="AT15" s="3">
        <f t="shared" ca="1" si="13"/>
        <v>1</v>
      </c>
      <c r="AU15" s="3" t="str">
        <f t="shared" ca="1" si="14"/>
        <v>54.3170492367956, 10.147354725789</v>
      </c>
      <c r="AV15" s="70" t="str">
        <f ca="1">IF(AW15&lt;0.5,G_DISTANCE(AU15, $M$3),"")</f>
        <v/>
      </c>
      <c r="AW15" s="3">
        <f t="shared" ca="1" si="22"/>
        <v>1.3306828397856221</v>
      </c>
      <c r="AX15" s="3" t="str">
        <f t="shared" ca="1" si="23"/>
        <v/>
      </c>
    </row>
    <row r="16" spans="1:57" ht="15" thickBot="1" x14ac:dyDescent="0.35">
      <c r="A16" s="11" t="s">
        <v>41</v>
      </c>
      <c r="B16" s="33">
        <v>1</v>
      </c>
      <c r="C16" s="13"/>
      <c r="D16" s="57"/>
      <c r="E16" s="58"/>
      <c r="F16" s="37"/>
      <c r="G16" s="20">
        <v>10.113476</v>
      </c>
      <c r="H16" s="21">
        <v>54.309018999999999</v>
      </c>
      <c r="I16" s="21" t="str">
        <f t="shared" si="24"/>
        <v>54.309019, 10.113476</v>
      </c>
      <c r="K16" s="20"/>
      <c r="L16" s="21"/>
      <c r="N16" s="3">
        <v>14</v>
      </c>
      <c r="O16" s="3"/>
      <c r="P16" s="3"/>
      <c r="Q16" s="3"/>
      <c r="R16" s="3" t="e">
        <f t="shared" ca="1" si="3"/>
        <v>#N/A</v>
      </c>
      <c r="S16" s="4" t="e">
        <f t="shared" ca="1" si="4"/>
        <v>#N/A</v>
      </c>
      <c r="T16" s="3">
        <f t="shared" ca="1" si="5"/>
        <v>1</v>
      </c>
      <c r="U16" s="3" t="e">
        <f t="shared" ca="1" si="25"/>
        <v>#N/A</v>
      </c>
      <c r="W16" s="3" t="str">
        <f t="shared" si="7"/>
        <v/>
      </c>
      <c r="X16" s="3" t="str">
        <f t="shared" ca="1" si="8"/>
        <v/>
      </c>
      <c r="AF16" s="3" t="str">
        <f t="shared" ca="1" si="15"/>
        <v/>
      </c>
      <c r="AG16" s="3" t="str">
        <f t="shared" ca="1" si="16"/>
        <v/>
      </c>
      <c r="AH16">
        <f t="shared" si="17"/>
        <v>54.321252000000001</v>
      </c>
      <c r="AI16">
        <f t="shared" si="18"/>
        <v>10.134164999999999</v>
      </c>
      <c r="AJ16" s="70">
        <f ca="1">IF(AK16&lt;1,G_DISTANCE(I17, $M$3),"")</f>
        <v>0.90800000000000003</v>
      </c>
      <c r="AK16" s="3">
        <f t="shared" ca="1" si="9"/>
        <v>0.46409311074636733</v>
      </c>
      <c r="AL16" s="19">
        <f t="shared" ca="1" si="10"/>
        <v>14.120000000000001</v>
      </c>
      <c r="AN16" s="3">
        <v>14</v>
      </c>
      <c r="AO16" s="3" t="str">
        <f t="shared" ca="1" si="19"/>
        <v/>
      </c>
      <c r="AP16" s="3" t="str">
        <f t="shared" ca="1" si="20"/>
        <v/>
      </c>
      <c r="AQ16" s="3" t="str">
        <f t="shared" ca="1" si="21"/>
        <v/>
      </c>
      <c r="AR16" s="3">
        <f t="shared" ca="1" si="26"/>
        <v>10.119246738146444</v>
      </c>
      <c r="AS16" s="4">
        <f t="shared" ca="1" si="27"/>
        <v>54.31781050667918</v>
      </c>
      <c r="AT16" s="3">
        <f t="shared" ca="1" si="13"/>
        <v>1</v>
      </c>
      <c r="AU16" s="3" t="str">
        <f t="shared" ca="1" si="14"/>
        <v>54.3178105066792, 10.1192467381464</v>
      </c>
      <c r="AV16" s="70" t="str">
        <f ca="1">IF(AW16&lt;0.5,G_DISTANCE(AU16, $M$3),"")</f>
        <v/>
      </c>
      <c r="AW16" s="3">
        <f t="shared" ca="1" si="22"/>
        <v>0.57954828842240003</v>
      </c>
      <c r="AX16" s="3" t="str">
        <f t="shared" ca="1" si="23"/>
        <v/>
      </c>
    </row>
    <row r="17" spans="1:50" ht="15" thickBot="1" x14ac:dyDescent="0.35">
      <c r="A17" s="11" t="s">
        <v>27</v>
      </c>
      <c r="B17" s="16">
        <v>0.5</v>
      </c>
      <c r="C17" s="13"/>
      <c r="D17" s="57"/>
      <c r="E17" s="58"/>
      <c r="F17" s="37"/>
      <c r="G17" s="20">
        <v>10.134164999999999</v>
      </c>
      <c r="H17" s="21">
        <v>54.321252000000001</v>
      </c>
      <c r="I17" s="21" t="str">
        <f t="shared" si="24"/>
        <v>54.321252, 10.134165</v>
      </c>
      <c r="K17" s="20"/>
      <c r="L17" s="21"/>
      <c r="N17" s="3">
        <v>15</v>
      </c>
      <c r="O17" s="3"/>
      <c r="P17" s="3"/>
      <c r="Q17" s="3"/>
      <c r="R17" s="3" t="e">
        <f t="shared" ca="1" si="3"/>
        <v>#N/A</v>
      </c>
      <c r="S17" s="4" t="e">
        <f t="shared" ca="1" si="4"/>
        <v>#N/A</v>
      </c>
      <c r="T17" s="3">
        <f t="shared" ca="1" si="5"/>
        <v>1</v>
      </c>
      <c r="U17" s="3" t="e">
        <f t="shared" ca="1" si="25"/>
        <v>#N/A</v>
      </c>
      <c r="W17" s="3" t="str">
        <f t="shared" si="7"/>
        <v/>
      </c>
      <c r="X17" s="3" t="str">
        <f t="shared" ca="1" si="8"/>
        <v/>
      </c>
      <c r="AF17" s="3" t="str">
        <f t="shared" ca="1" si="15"/>
        <v/>
      </c>
      <c r="AG17" s="3" t="str">
        <f t="shared" ca="1" si="16"/>
        <v/>
      </c>
      <c r="AH17">
        <f t="shared" si="17"/>
        <v>54.327080000000002</v>
      </c>
      <c r="AI17">
        <f t="shared" si="18"/>
        <v>10.13522</v>
      </c>
      <c r="AJ17" s="70">
        <f ca="1">IF(AK17&lt;1,G_DISTANCE(I18, $M$3),"")</f>
        <v>1.319</v>
      </c>
      <c r="AK17" s="3">
        <f t="shared" ca="1" si="9"/>
        <v>0.95203465981439717</v>
      </c>
      <c r="AL17" s="19">
        <f t="shared" ca="1" si="10"/>
        <v>20.285</v>
      </c>
      <c r="AN17" s="3">
        <v>15</v>
      </c>
      <c r="AO17" s="3" t="str">
        <f t="shared" ca="1" si="19"/>
        <v/>
      </c>
      <c r="AP17" s="3" t="str">
        <f t="shared" ca="1" si="20"/>
        <v/>
      </c>
      <c r="AQ17" s="3" t="str">
        <f t="shared" ca="1" si="21"/>
        <v/>
      </c>
      <c r="AR17" s="3">
        <f t="shared" ca="1" si="26"/>
        <v>10.142722876309623</v>
      </c>
      <c r="AS17" s="4">
        <f t="shared" ca="1" si="27"/>
        <v>54.329809200537483</v>
      </c>
      <c r="AT17" s="3">
        <f t="shared" ca="1" si="13"/>
        <v>1</v>
      </c>
      <c r="AU17" s="3" t="str">
        <f t="shared" ca="1" si="14"/>
        <v>54.3298092005375, 10.1427228763096</v>
      </c>
      <c r="AV17" s="70" t="str">
        <f ca="1">IF(AW17&lt;0.5,G_DISTANCE(AU17, $M$3),"")</f>
        <v/>
      </c>
      <c r="AW17" s="3">
        <f t="shared" ca="1" si="22"/>
        <v>1.4899944499662068</v>
      </c>
      <c r="AX17" s="3" t="str">
        <f t="shared" ca="1" si="23"/>
        <v/>
      </c>
    </row>
    <row r="18" spans="1:50" ht="15" thickBot="1" x14ac:dyDescent="0.35">
      <c r="A18" s="11" t="s">
        <v>28</v>
      </c>
      <c r="B18" s="16">
        <v>0.5</v>
      </c>
      <c r="C18" s="13"/>
      <c r="D18" s="57"/>
      <c r="E18" s="58"/>
      <c r="F18" s="37"/>
      <c r="G18" s="20">
        <v>10.13522</v>
      </c>
      <c r="H18" s="21">
        <v>54.327080000000002</v>
      </c>
      <c r="I18" s="21" t="str">
        <f t="shared" si="24"/>
        <v>54.32708, 10.13522</v>
      </c>
      <c r="K18" s="35"/>
      <c r="L18" s="36"/>
      <c r="N18" s="3">
        <v>16</v>
      </c>
      <c r="O18" s="3"/>
      <c r="P18" s="3"/>
      <c r="Q18" s="3"/>
      <c r="R18" s="3" t="e">
        <f t="shared" ca="1" si="3"/>
        <v>#N/A</v>
      </c>
      <c r="S18" s="4" t="e">
        <f t="shared" ca="1" si="4"/>
        <v>#N/A</v>
      </c>
      <c r="T18" s="3">
        <f t="shared" ca="1" si="5"/>
        <v>1</v>
      </c>
      <c r="U18" s="3" t="e">
        <f t="shared" ca="1" si="25"/>
        <v>#N/A</v>
      </c>
      <c r="W18" s="3" t="str">
        <f t="shared" si="7"/>
        <v/>
      </c>
      <c r="X18" s="3" t="str">
        <f t="shared" ca="1" si="8"/>
        <v/>
      </c>
      <c r="AF18" s="3" t="str">
        <f t="shared" ca="1" si="15"/>
        <v/>
      </c>
      <c r="AG18" s="3" t="str">
        <f t="shared" ca="1" si="16"/>
        <v/>
      </c>
      <c r="AH18">
        <f t="shared" si="17"/>
        <v>54.329700000000003</v>
      </c>
      <c r="AI18">
        <f t="shared" si="18"/>
        <v>10.13875</v>
      </c>
      <c r="AJ18" s="70" t="str">
        <f ca="1">IF(AK18&lt;1,G_DISTANCE(I19, $M$3),"")</f>
        <v/>
      </c>
      <c r="AK18" s="3">
        <f t="shared" ca="1" si="9"/>
        <v>1.321664725237498</v>
      </c>
      <c r="AL18" s="19" t="str">
        <f t="shared" ca="1" si="10"/>
        <v/>
      </c>
      <c r="AN18" s="3">
        <v>16</v>
      </c>
      <c r="AO18" s="3" t="str">
        <f t="shared" ca="1" si="19"/>
        <v/>
      </c>
      <c r="AP18" s="3" t="str">
        <f t="shared" ca="1" si="20"/>
        <v/>
      </c>
      <c r="AQ18" s="3" t="str">
        <f t="shared" ca="1" si="21"/>
        <v/>
      </c>
      <c r="AR18" s="3">
        <f t="shared" ca="1" si="26"/>
        <v>10.113172553253793</v>
      </c>
      <c r="AS18" s="4">
        <f t="shared" ca="1" si="27"/>
        <v>54.310085886566604</v>
      </c>
      <c r="AT18" s="3">
        <f t="shared" ca="1" si="13"/>
        <v>1</v>
      </c>
      <c r="AU18" s="3" t="str">
        <f t="shared" ca="1" si="14"/>
        <v>54.3100858865666, 10.1131725532538</v>
      </c>
      <c r="AV18" s="70" t="str">
        <f ca="1">IF(AW18&lt;0.5,G_DISTANCE(AU18, $M$3),"")</f>
        <v/>
      </c>
      <c r="AW18" s="3">
        <f t="shared" ca="1" si="22"/>
        <v>1.4282237085329996</v>
      </c>
      <c r="AX18" s="3" t="str">
        <f t="shared" ca="1" si="23"/>
        <v/>
      </c>
    </row>
    <row r="19" spans="1:50" ht="15" thickBot="1" x14ac:dyDescent="0.35">
      <c r="A19" s="11" t="s">
        <v>42</v>
      </c>
      <c r="B19" s="16">
        <v>1</v>
      </c>
      <c r="C19" s="13"/>
      <c r="D19" s="57"/>
      <c r="E19" s="58"/>
      <c r="F19" s="37"/>
      <c r="G19" s="20">
        <v>10.13875</v>
      </c>
      <c r="H19" s="21">
        <v>54.329700000000003</v>
      </c>
      <c r="I19" s="21" t="str">
        <f t="shared" si="24"/>
        <v>54.3297, 10.13875</v>
      </c>
      <c r="N19" s="3">
        <v>17</v>
      </c>
      <c r="O19" s="3"/>
      <c r="P19" s="3"/>
      <c r="Q19" s="3"/>
      <c r="R19" s="3" t="e">
        <f t="shared" ca="1" si="3"/>
        <v>#N/A</v>
      </c>
      <c r="S19" s="4" t="e">
        <f t="shared" ca="1" si="4"/>
        <v>#N/A</v>
      </c>
      <c r="T19" s="3">
        <f t="shared" ca="1" si="5"/>
        <v>1</v>
      </c>
      <c r="U19" s="3" t="e">
        <f t="shared" ca="1" si="25"/>
        <v>#N/A</v>
      </c>
      <c r="W19" s="3" t="str">
        <f t="shared" si="7"/>
        <v/>
      </c>
      <c r="X19" s="3" t="str">
        <f t="shared" ca="1" si="8"/>
        <v/>
      </c>
      <c r="AF19" s="3" t="str">
        <f t="shared" ca="1" si="15"/>
        <v/>
      </c>
      <c r="AG19" s="3" t="str">
        <f t="shared" ca="1" si="16"/>
        <v/>
      </c>
      <c r="AH19">
        <f t="shared" si="17"/>
        <v>54.323152999999998</v>
      </c>
      <c r="AI19">
        <f t="shared" si="18"/>
        <v>10.137359</v>
      </c>
      <c r="AJ19" s="70">
        <f ca="1">IF(AK19&lt;1,G_DISTANCE(I20, $M$3),"")</f>
        <v>1.893</v>
      </c>
      <c r="AK19" s="3">
        <f t="shared" ca="1" si="9"/>
        <v>0.74272884990127142</v>
      </c>
      <c r="AL19" s="19">
        <f t="shared" ca="1" si="10"/>
        <v>28.895</v>
      </c>
      <c r="AN19" s="3">
        <v>17</v>
      </c>
      <c r="AO19" s="3" t="str">
        <f t="shared" ca="1" si="19"/>
        <v/>
      </c>
      <c r="AP19" s="3" t="str">
        <f t="shared" ca="1" si="20"/>
        <v>2</v>
      </c>
      <c r="AQ19" s="3" t="str">
        <f t="shared" ca="1" si="21"/>
        <v/>
      </c>
      <c r="AR19" s="3">
        <f t="shared" ca="1" si="26"/>
        <v>10.127198008967161</v>
      </c>
      <c r="AS19" s="4">
        <f t="shared" ca="1" si="27"/>
        <v>54.317189662650854</v>
      </c>
      <c r="AT19" s="3">
        <f t="shared" ca="1" si="13"/>
        <v>1</v>
      </c>
      <c r="AU19" s="3" t="str">
        <f t="shared" ca="1" si="14"/>
        <v>54.3171896626509, 10.1271980089672</v>
      </c>
      <c r="AV19" s="70">
        <f ca="1">IF(AW19&lt;0.5,G_DISTANCE(AU19, $M$3),"")</f>
        <v>0.441</v>
      </c>
      <c r="AW19" s="3">
        <f t="shared" ca="1" si="22"/>
        <v>0.29423670476747354</v>
      </c>
      <c r="AX19" s="3">
        <f t="shared" ca="1" si="23"/>
        <v>3.8075000000000001</v>
      </c>
    </row>
    <row r="20" spans="1:50" ht="15" thickBot="1" x14ac:dyDescent="0.35">
      <c r="A20" s="11" t="s">
        <v>29</v>
      </c>
      <c r="B20" s="16">
        <v>3.5</v>
      </c>
      <c r="C20" s="13"/>
      <c r="D20" s="57"/>
      <c r="E20" s="58"/>
      <c r="F20" s="37"/>
      <c r="G20" s="20">
        <v>10.137359</v>
      </c>
      <c r="H20" s="21">
        <v>54.323152999999998</v>
      </c>
      <c r="I20" s="21" t="str">
        <f t="shared" si="24"/>
        <v>54.323153, 10.137359</v>
      </c>
      <c r="N20" s="3">
        <v>18</v>
      </c>
      <c r="O20" s="3"/>
      <c r="P20" s="3"/>
      <c r="Q20" s="3"/>
      <c r="R20" s="3" t="e">
        <f t="shared" ca="1" si="3"/>
        <v>#N/A</v>
      </c>
      <c r="S20" s="4" t="e">
        <f t="shared" ca="1" si="4"/>
        <v>#N/A</v>
      </c>
      <c r="T20" s="3">
        <f t="shared" ca="1" si="5"/>
        <v>1</v>
      </c>
      <c r="U20" s="3" t="e">
        <f t="shared" ca="1" si="25"/>
        <v>#N/A</v>
      </c>
      <c r="W20" s="3" t="str">
        <f t="shared" si="7"/>
        <v/>
      </c>
      <c r="X20" s="3" t="str">
        <f t="shared" ca="1" si="8"/>
        <v/>
      </c>
      <c r="AF20" s="3" t="str">
        <f t="shared" ca="1" si="15"/>
        <v/>
      </c>
      <c r="AG20" s="3" t="str">
        <f t="shared" ca="1" si="16"/>
        <v/>
      </c>
      <c r="AH20">
        <f t="shared" si="17"/>
        <v>54.329917000000002</v>
      </c>
      <c r="AI20">
        <f t="shared" si="18"/>
        <v>10.148505</v>
      </c>
      <c r="AJ20" s="70" t="str">
        <f ca="1">IF(AK20&lt;1,G_DISTANCE(I21, $M$3),"")</f>
        <v/>
      </c>
      <c r="AK20" s="3">
        <f t="shared" ca="1" si="9"/>
        <v>1.7706785219715289</v>
      </c>
      <c r="AL20" s="19" t="str">
        <f t="shared" ca="1" si="10"/>
        <v/>
      </c>
      <c r="AN20" s="3">
        <v>18</v>
      </c>
      <c r="AO20" s="3" t="str">
        <f t="shared" ca="1" si="19"/>
        <v>1</v>
      </c>
      <c r="AP20" s="3" t="str">
        <f t="shared" ca="1" si="20"/>
        <v/>
      </c>
      <c r="AQ20" s="3" t="str">
        <f t="shared" ca="1" si="21"/>
        <v/>
      </c>
      <c r="AR20" s="3">
        <f t="shared" ca="1" si="26"/>
        <v>10.125383795083248</v>
      </c>
      <c r="AS20" s="4">
        <f t="shared" ca="1" si="27"/>
        <v>54.319069866993509</v>
      </c>
      <c r="AT20" s="3">
        <f t="shared" ca="1" si="13"/>
        <v>1</v>
      </c>
      <c r="AU20" s="3" t="str">
        <f t="shared" ca="1" si="14"/>
        <v>54.3190698669935, 10.1253837950832</v>
      </c>
      <c r="AV20" s="70">
        <f ca="1">IF(AW20&lt;0.5,G_DISTANCE(AU20, $M$3),"")</f>
        <v>0.34499999999999997</v>
      </c>
      <c r="AW20" s="3">
        <f t="shared" ca="1" si="22"/>
        <v>0.15925737740452825</v>
      </c>
      <c r="AX20" s="3">
        <f t="shared" ca="1" si="23"/>
        <v>3.0874999999999999</v>
      </c>
    </row>
    <row r="21" spans="1:50" ht="15" thickBot="1" x14ac:dyDescent="0.35">
      <c r="A21" s="11" t="s">
        <v>30</v>
      </c>
      <c r="B21" s="16">
        <v>69</v>
      </c>
      <c r="C21" s="13"/>
      <c r="D21" s="57"/>
      <c r="E21" s="58"/>
      <c r="F21" s="37"/>
      <c r="G21" s="20">
        <v>10.148505</v>
      </c>
      <c r="H21" s="21">
        <v>54.329917000000002</v>
      </c>
      <c r="I21" s="21" t="str">
        <f t="shared" si="24"/>
        <v>54.329917, 10.148505</v>
      </c>
      <c r="N21" s="3">
        <v>19</v>
      </c>
      <c r="O21" s="3"/>
      <c r="P21" s="3"/>
      <c r="Q21" s="3"/>
      <c r="R21" s="3" t="e">
        <f t="shared" ca="1" si="3"/>
        <v>#N/A</v>
      </c>
      <c r="S21" s="4" t="e">
        <f t="shared" ca="1" si="4"/>
        <v>#N/A</v>
      </c>
      <c r="T21" s="3">
        <f t="shared" ca="1" si="5"/>
        <v>1</v>
      </c>
      <c r="U21" s="3" t="e">
        <f t="shared" ca="1" si="25"/>
        <v>#N/A</v>
      </c>
      <c r="W21" s="3" t="str">
        <f t="shared" si="7"/>
        <v/>
      </c>
      <c r="X21" s="3" t="str">
        <f t="shared" ca="1" si="8"/>
        <v/>
      </c>
      <c r="AF21" s="3" t="str">
        <f t="shared" ca="1" si="15"/>
        <v/>
      </c>
      <c r="AG21" s="3" t="str">
        <f t="shared" ca="1" si="16"/>
        <v/>
      </c>
      <c r="AH21">
        <f t="shared" si="17"/>
        <v>54.329976000000002</v>
      </c>
      <c r="AI21">
        <f t="shared" si="18"/>
        <v>10.148821999999999</v>
      </c>
      <c r="AJ21" s="70" t="str">
        <f ca="1">IF(AK21&lt;1,G_DISTANCE(I22, $M$3),"")</f>
        <v/>
      </c>
      <c r="AK21" s="3">
        <f t="shared" ca="1" si="9"/>
        <v>1.7908052131422536</v>
      </c>
      <c r="AL21" s="19" t="str">
        <f t="shared" ca="1" si="10"/>
        <v/>
      </c>
      <c r="AN21" s="3">
        <v>19</v>
      </c>
      <c r="AO21" s="3" t="str">
        <f t="shared" ca="1" si="19"/>
        <v/>
      </c>
      <c r="AP21" s="3" t="str">
        <f t="shared" ca="1" si="20"/>
        <v/>
      </c>
      <c r="AQ21" s="3" t="str">
        <f t="shared" ca="1" si="21"/>
        <v/>
      </c>
      <c r="AR21" s="3">
        <f t="shared" ca="1" si="26"/>
        <v>10.142533758044307</v>
      </c>
      <c r="AS21" s="4">
        <f t="shared" ca="1" si="27"/>
        <v>54.320479108313386</v>
      </c>
      <c r="AT21" s="3">
        <f t="shared" ca="1" si="13"/>
        <v>1</v>
      </c>
      <c r="AU21" s="3" t="str">
        <f t="shared" ca="1" si="14"/>
        <v>54.3204791083134, 10.1425337580443</v>
      </c>
      <c r="AV21" s="70" t="str">
        <f ca="1">IF(AW21&lt;0.5,G_DISTANCE(AU21, $M$3),"")</f>
        <v/>
      </c>
      <c r="AW21" s="3">
        <f t="shared" ca="1" si="22"/>
        <v>0.98327862546860711</v>
      </c>
      <c r="AX21" s="3" t="str">
        <f t="shared" ca="1" si="23"/>
        <v/>
      </c>
    </row>
    <row r="22" spans="1:50" ht="15" thickBot="1" x14ac:dyDescent="0.35">
      <c r="A22" s="17"/>
      <c r="B22" s="18"/>
      <c r="C22" s="37"/>
      <c r="D22" s="57"/>
      <c r="E22" s="58"/>
      <c r="F22" s="37"/>
      <c r="G22" s="20">
        <v>10.148821999999999</v>
      </c>
      <c r="H22" s="21">
        <v>54.329976000000002</v>
      </c>
      <c r="I22" s="21" t="str">
        <f t="shared" si="24"/>
        <v>54.329976, 10.148822</v>
      </c>
      <c r="N22" s="3">
        <v>20</v>
      </c>
      <c r="O22" s="3"/>
      <c r="P22" s="3"/>
      <c r="Q22" s="3"/>
      <c r="R22" s="3" t="e">
        <f t="shared" ca="1" si="3"/>
        <v>#N/A</v>
      </c>
      <c r="S22" s="4" t="e">
        <f t="shared" ca="1" si="4"/>
        <v>#N/A</v>
      </c>
      <c r="T22" s="3">
        <f t="shared" ca="1" si="5"/>
        <v>1</v>
      </c>
      <c r="U22" s="3" t="e">
        <f t="shared" ca="1" si="25"/>
        <v>#N/A</v>
      </c>
      <c r="W22" s="3" t="str">
        <f t="shared" si="7"/>
        <v/>
      </c>
      <c r="X22" s="3" t="str">
        <f t="shared" ca="1" si="8"/>
        <v/>
      </c>
      <c r="AF22" s="3" t="str">
        <f t="shared" ca="1" si="15"/>
        <v/>
      </c>
      <c r="AG22" s="3" t="str">
        <f t="shared" ca="1" si="16"/>
        <v/>
      </c>
      <c r="AH22">
        <f t="shared" si="17"/>
        <v>54.308199999999999</v>
      </c>
      <c r="AI22">
        <f t="shared" si="18"/>
        <v>10.13307</v>
      </c>
      <c r="AJ22" s="70" t="str">
        <f ca="1">IF(AK22&lt;1,G_DISTANCE(I23, $M$3),"")</f>
        <v/>
      </c>
      <c r="AK22" s="3">
        <f t="shared" ca="1" si="9"/>
        <v>1.3448673081110711</v>
      </c>
      <c r="AL22" s="19" t="str">
        <f t="shared" ca="1" si="10"/>
        <v/>
      </c>
      <c r="AN22" s="3">
        <v>20</v>
      </c>
      <c r="AO22" s="3" t="str">
        <f t="shared" ca="1" si="19"/>
        <v/>
      </c>
      <c r="AP22" s="3" t="str">
        <f t="shared" ca="1" si="20"/>
        <v/>
      </c>
      <c r="AQ22" s="3" t="str">
        <f t="shared" ca="1" si="21"/>
        <v/>
      </c>
      <c r="AR22" s="3">
        <f t="shared" ca="1" si="26"/>
        <v>10.116474601123652</v>
      </c>
      <c r="AS22" s="4">
        <f t="shared" ca="1" si="27"/>
        <v>54.314956548496717</v>
      </c>
      <c r="AT22" s="3">
        <f t="shared" ca="1" si="13"/>
        <v>1</v>
      </c>
      <c r="AU22" s="3" t="str">
        <f t="shared" ca="1" si="14"/>
        <v>54.3149565484967, 10.1164746011237</v>
      </c>
      <c r="AV22" s="70" t="str">
        <f ca="1">IF(AW22&lt;0.5,G_DISTANCE(AU22, $M$3),"")</f>
        <v/>
      </c>
      <c r="AW22" s="3">
        <f t="shared" ca="1" si="22"/>
        <v>0.89706190127940655</v>
      </c>
      <c r="AX22" s="3" t="str">
        <f t="shared" ca="1" si="23"/>
        <v/>
      </c>
    </row>
    <row r="23" spans="1:50" ht="15" thickBot="1" x14ac:dyDescent="0.35">
      <c r="A23" s="37"/>
      <c r="B23" s="37"/>
      <c r="C23" s="37"/>
      <c r="D23" s="57"/>
      <c r="E23" s="58"/>
      <c r="F23" s="37"/>
      <c r="G23" s="20">
        <v>10.13307</v>
      </c>
      <c r="H23" s="21">
        <v>54.308199999999999</v>
      </c>
      <c r="I23" s="21" t="str">
        <f t="shared" si="24"/>
        <v>54.3082, 10.13307</v>
      </c>
      <c r="N23" s="3">
        <v>21</v>
      </c>
      <c r="O23" s="3"/>
      <c r="P23" s="3"/>
      <c r="Q23" s="3"/>
      <c r="R23" s="3" t="e">
        <f t="shared" ca="1" si="3"/>
        <v>#N/A</v>
      </c>
      <c r="S23" s="4" t="e">
        <f t="shared" ca="1" si="4"/>
        <v>#N/A</v>
      </c>
      <c r="T23" s="3">
        <f t="shared" ca="1" si="5"/>
        <v>1</v>
      </c>
      <c r="U23" s="3" t="e">
        <f t="shared" ca="1" si="25"/>
        <v>#N/A</v>
      </c>
      <c r="W23" s="3" t="str">
        <f t="shared" si="7"/>
        <v/>
      </c>
      <c r="X23" s="3" t="str">
        <f t="shared" ca="1" si="8"/>
        <v/>
      </c>
      <c r="AF23" s="3" t="str">
        <f t="shared" ca="1" si="15"/>
        <v/>
      </c>
      <c r="AG23" s="3" t="str">
        <f t="shared" ca="1" si="16"/>
        <v/>
      </c>
      <c r="AH23">
        <f t="shared" si="17"/>
        <v>54.325980000000001</v>
      </c>
      <c r="AI23">
        <f t="shared" si="18"/>
        <v>10.13419</v>
      </c>
      <c r="AJ23" s="70">
        <f ca="1">IF(AK23&lt;1,G_DISTANCE(I24, $M$3),"")</f>
        <v>0.96</v>
      </c>
      <c r="AK23" s="3">
        <f t="shared" ca="1" si="9"/>
        <v>0.81273560921690724</v>
      </c>
      <c r="AL23" s="19">
        <f t="shared" ca="1" si="10"/>
        <v>14.899999999999999</v>
      </c>
      <c r="AN23" s="3">
        <v>21</v>
      </c>
      <c r="AO23" s="3" t="str">
        <f t="shared" ca="1" si="19"/>
        <v/>
      </c>
      <c r="AP23" s="3" t="str">
        <f t="shared" ca="1" si="20"/>
        <v/>
      </c>
      <c r="AQ23" s="3" t="str">
        <f t="shared" ca="1" si="21"/>
        <v/>
      </c>
      <c r="AR23" s="3">
        <f t="shared" ca="1" si="26"/>
        <v>10.140191292806792</v>
      </c>
      <c r="AS23" s="4">
        <f t="shared" ca="1" si="27"/>
        <v>54.331585337165137</v>
      </c>
      <c r="AT23" s="3">
        <f t="shared" ca="1" si="13"/>
        <v>1</v>
      </c>
      <c r="AU23" s="3" t="str">
        <f t="shared" ca="1" si="14"/>
        <v>54.3315853371651, 10.1401912928068</v>
      </c>
      <c r="AV23" s="70" t="str">
        <f ca="1">IF(AW23&lt;0.5,G_DISTANCE(AU23, $M$3),"")</f>
        <v/>
      </c>
      <c r="AW23" s="3">
        <f t="shared" ca="1" si="22"/>
        <v>1.5487214405316794</v>
      </c>
      <c r="AX23" s="3" t="str">
        <f t="shared" ca="1" si="23"/>
        <v/>
      </c>
    </row>
    <row r="24" spans="1:50" ht="15" thickBot="1" x14ac:dyDescent="0.35">
      <c r="A24" s="38" t="s">
        <v>31</v>
      </c>
      <c r="B24" s="39"/>
      <c r="C24" s="37"/>
      <c r="D24" s="57"/>
      <c r="E24" s="58"/>
      <c r="F24" s="37"/>
      <c r="G24" s="20">
        <v>10.13419</v>
      </c>
      <c r="H24" s="21">
        <v>54.325980000000001</v>
      </c>
      <c r="I24" s="21" t="str">
        <f t="shared" si="24"/>
        <v>54.32598, 10.13419</v>
      </c>
      <c r="N24" s="3">
        <v>22</v>
      </c>
      <c r="O24" s="3"/>
      <c r="P24" s="3"/>
      <c r="Q24" s="3"/>
      <c r="R24" s="3" t="e">
        <f t="shared" ca="1" si="3"/>
        <v>#N/A</v>
      </c>
      <c r="S24" s="4" t="e">
        <f t="shared" ca="1" si="4"/>
        <v>#N/A</v>
      </c>
      <c r="T24" s="3">
        <f t="shared" ca="1" si="5"/>
        <v>1</v>
      </c>
      <c r="U24" s="3" t="e">
        <f t="shared" ca="1" si="25"/>
        <v>#N/A</v>
      </c>
      <c r="W24" s="3" t="str">
        <f t="shared" si="7"/>
        <v/>
      </c>
      <c r="X24" s="3" t="str">
        <f t="shared" ca="1" si="8"/>
        <v/>
      </c>
      <c r="AF24" s="3" t="str">
        <f t="shared" ca="1" si="15"/>
        <v/>
      </c>
      <c r="AG24" s="3" t="str">
        <f t="shared" ca="1" si="16"/>
        <v/>
      </c>
      <c r="AH24">
        <f t="shared" si="17"/>
        <v>54.314146000000001</v>
      </c>
      <c r="AI24">
        <f t="shared" si="18"/>
        <v>10.144494999999999</v>
      </c>
      <c r="AJ24" s="70" t="str">
        <f ca="1">IF(AK24&lt;1,G_DISTANCE(I25, $M$3),"")</f>
        <v/>
      </c>
      <c r="AK24" s="3">
        <f t="shared" ca="1" si="9"/>
        <v>1.2760059142832134</v>
      </c>
      <c r="AL24" s="19" t="str">
        <f t="shared" ca="1" si="10"/>
        <v/>
      </c>
      <c r="AN24" s="3">
        <v>22</v>
      </c>
      <c r="AO24" s="3" t="str">
        <f t="shared" ca="1" si="19"/>
        <v/>
      </c>
      <c r="AP24" s="3" t="str">
        <f t="shared" ca="1" si="20"/>
        <v/>
      </c>
      <c r="AQ24" s="3" t="str">
        <f t="shared" ca="1" si="21"/>
        <v/>
      </c>
      <c r="AR24" s="3">
        <f t="shared" ca="1" si="26"/>
        <v>10.144550595070882</v>
      </c>
      <c r="AS24" s="4">
        <f t="shared" ca="1" si="27"/>
        <v>54.327957925150926</v>
      </c>
      <c r="AT24" s="3">
        <f t="shared" ca="1" si="13"/>
        <v>1</v>
      </c>
      <c r="AU24" s="3" t="str">
        <f t="shared" ca="1" si="14"/>
        <v>54.3279579251509, 10.1445505950709</v>
      </c>
      <c r="AV24" s="70" t="str">
        <f ca="1">IF(AW24&lt;0.5,G_DISTANCE(AU24, $M$3),"")</f>
        <v/>
      </c>
      <c r="AW24" s="3">
        <f t="shared" ca="1" si="22"/>
        <v>1.4335016739586179</v>
      </c>
      <c r="AX24" s="3" t="str">
        <f t="shared" ca="1" si="23"/>
        <v/>
      </c>
    </row>
    <row r="25" spans="1:50" ht="15.6" thickTop="1" thickBot="1" x14ac:dyDescent="0.35">
      <c r="A25" s="29"/>
      <c r="B25" s="40"/>
      <c r="C25" s="37"/>
      <c r="D25" s="57"/>
      <c r="E25" s="58"/>
      <c r="F25" s="37"/>
      <c r="G25" s="35">
        <v>10.144494999999999</v>
      </c>
      <c r="H25" s="36">
        <v>54.314146000000001</v>
      </c>
      <c r="I25" s="36" t="str">
        <f t="shared" si="24"/>
        <v>54.314146, 10.144495</v>
      </c>
      <c r="N25" s="3">
        <v>23</v>
      </c>
      <c r="O25" s="3"/>
      <c r="P25" s="3"/>
      <c r="Q25" s="3"/>
      <c r="R25" s="3" t="e">
        <f t="shared" ca="1" si="3"/>
        <v>#N/A</v>
      </c>
      <c r="S25" s="4" t="e">
        <f t="shared" ca="1" si="4"/>
        <v>#N/A</v>
      </c>
      <c r="T25" s="3">
        <f t="shared" ca="1" si="5"/>
        <v>1</v>
      </c>
      <c r="U25" s="3" t="e">
        <f t="shared" ca="1" si="25"/>
        <v>#N/A</v>
      </c>
      <c r="W25" s="3" t="str">
        <f t="shared" si="7"/>
        <v/>
      </c>
      <c r="X25" s="3" t="str">
        <f t="shared" ca="1" si="8"/>
        <v/>
      </c>
      <c r="AK25" s="3"/>
      <c r="AL25" s="19"/>
      <c r="AN25" s="3">
        <v>23</v>
      </c>
      <c r="AO25" s="3" t="str">
        <f t="shared" ca="1" si="19"/>
        <v/>
      </c>
      <c r="AP25" s="3" t="str">
        <f t="shared" ca="1" si="20"/>
        <v/>
      </c>
      <c r="AQ25" s="3" t="str">
        <f t="shared" ca="1" si="21"/>
        <v/>
      </c>
      <c r="AR25" s="3">
        <f t="shared" ca="1" si="26"/>
        <v>10.117934162897917</v>
      </c>
      <c r="AS25" s="4">
        <f t="shared" ca="1" si="27"/>
        <v>54.310492722170522</v>
      </c>
      <c r="AT25" s="3">
        <f t="shared" ca="1" si="13"/>
        <v>1</v>
      </c>
      <c r="AU25" s="3" t="str">
        <f t="shared" ca="1" si="14"/>
        <v>54.3104927221705, 10.1179341628979</v>
      </c>
      <c r="AV25" s="70" t="str">
        <f ca="1">IF(AW25&lt;0.5,G_DISTANCE(AU25, $M$3),"")</f>
        <v/>
      </c>
      <c r="AW25" s="3">
        <f t="shared" ca="1" si="22"/>
        <v>1.209897069171249</v>
      </c>
      <c r="AX25" s="3" t="str">
        <f t="shared" ca="1" si="23"/>
        <v/>
      </c>
    </row>
    <row r="26" spans="1:50" x14ac:dyDescent="0.3">
      <c r="A26" s="29" t="s">
        <v>32</v>
      </c>
      <c r="B26" s="40">
        <f ca="1">MIN(AD3:AD4)</f>
        <v>4.0617391304347823</v>
      </c>
      <c r="C26" s="37"/>
      <c r="D26" s="57"/>
      <c r="E26" s="58"/>
      <c r="F26" s="37"/>
      <c r="G26" s="65"/>
      <c r="H26" s="66"/>
      <c r="I26" s="37" t="str">
        <f t="shared" si="24"/>
        <v xml:space="preserve">, </v>
      </c>
      <c r="N26" s="3">
        <v>24</v>
      </c>
      <c r="O26" s="3"/>
      <c r="P26" s="3"/>
      <c r="Q26" s="3"/>
      <c r="R26" s="3" t="e">
        <f t="shared" ca="1" si="3"/>
        <v>#N/A</v>
      </c>
      <c r="S26" s="4" t="e">
        <f t="shared" ca="1" si="4"/>
        <v>#N/A</v>
      </c>
      <c r="T26" s="3">
        <f t="shared" ca="1" si="5"/>
        <v>1</v>
      </c>
      <c r="U26" s="3" t="e">
        <f t="shared" ca="1" si="25"/>
        <v>#N/A</v>
      </c>
      <c r="W26" s="3" t="str">
        <f t="shared" si="7"/>
        <v/>
      </c>
      <c r="X26" s="3" t="str">
        <f t="shared" ca="1" si="8"/>
        <v/>
      </c>
      <c r="AK26" s="3"/>
      <c r="AL26" s="19"/>
      <c r="AN26" s="3">
        <v>24</v>
      </c>
      <c r="AO26" s="3" t="str">
        <f t="shared" ca="1" si="19"/>
        <v/>
      </c>
      <c r="AP26" s="3" t="str">
        <f t="shared" ca="1" si="20"/>
        <v/>
      </c>
      <c r="AQ26" s="3" t="str">
        <f t="shared" ca="1" si="21"/>
        <v/>
      </c>
      <c r="AR26" s="3">
        <f t="shared" ca="1" si="26"/>
        <v>10.141633314956419</v>
      </c>
      <c r="AS26" s="4">
        <f t="shared" ca="1" si="27"/>
        <v>54.323405712637367</v>
      </c>
      <c r="AT26" s="3">
        <f t="shared" ca="1" si="13"/>
        <v>1</v>
      </c>
      <c r="AU26" s="3" t="str">
        <f t="shared" ca="1" si="14"/>
        <v>54.3234057126374, 10.1416333149564</v>
      </c>
      <c r="AV26" s="70" t="str">
        <f ca="1">IF(AW26&lt;0.5,G_DISTANCE(AU26, $M$3),"")</f>
        <v/>
      </c>
      <c r="AW26" s="3">
        <f t="shared" ca="1" si="22"/>
        <v>1.0043339239702933</v>
      </c>
      <c r="AX26" s="3" t="str">
        <f t="shared" ca="1" si="23"/>
        <v/>
      </c>
    </row>
    <row r="27" spans="1:50" x14ac:dyDescent="0.3">
      <c r="A27" s="29"/>
      <c r="B27" s="40"/>
      <c r="C27" s="37"/>
      <c r="D27" s="57"/>
      <c r="E27" s="58"/>
      <c r="F27" s="37"/>
      <c r="G27" s="47"/>
      <c r="H27" s="59"/>
      <c r="I27" s="37" t="str">
        <f t="shared" si="24"/>
        <v xml:space="preserve">, </v>
      </c>
      <c r="N27" s="3">
        <v>25</v>
      </c>
      <c r="O27" s="3"/>
      <c r="P27" s="3"/>
      <c r="Q27" s="3"/>
      <c r="R27" s="3" t="e">
        <f t="shared" ca="1" si="3"/>
        <v>#N/A</v>
      </c>
      <c r="S27" s="4" t="e">
        <f t="shared" ca="1" si="4"/>
        <v>#N/A</v>
      </c>
      <c r="T27" s="3">
        <f t="shared" ca="1" si="5"/>
        <v>1</v>
      </c>
      <c r="U27" s="3" t="e">
        <f t="shared" ca="1" si="25"/>
        <v>#N/A</v>
      </c>
      <c r="W27" s="3" t="str">
        <f t="shared" si="7"/>
        <v/>
      </c>
      <c r="X27" s="3" t="str">
        <f t="shared" ca="1" si="8"/>
        <v/>
      </c>
      <c r="AK27" s="3"/>
      <c r="AL27" s="19"/>
      <c r="AN27" s="3">
        <v>25</v>
      </c>
      <c r="AO27" s="3" t="str">
        <f t="shared" ca="1" si="19"/>
        <v/>
      </c>
      <c r="AP27" s="3" t="str">
        <f t="shared" ca="1" si="20"/>
        <v/>
      </c>
      <c r="AQ27" s="3" t="str">
        <f t="shared" ca="1" si="21"/>
        <v/>
      </c>
      <c r="AR27" s="3">
        <f t="shared" ca="1" si="26"/>
        <v>10.119721110723821</v>
      </c>
      <c r="AS27" s="4">
        <f t="shared" ca="1" si="27"/>
        <v>54.316041682471649</v>
      </c>
      <c r="AT27" s="3">
        <f t="shared" ca="1" si="13"/>
        <v>1</v>
      </c>
      <c r="AU27" s="3" t="str">
        <f t="shared" ca="1" si="14"/>
        <v>54.3160416824716, 10.1197211107238</v>
      </c>
      <c r="AV27" s="70" t="str">
        <f ca="1">IF(AW27&lt;0.5,G_DISTANCE(AU27, $M$3),"")</f>
        <v/>
      </c>
      <c r="AW27" s="3">
        <f t="shared" ca="1" si="22"/>
        <v>0.6565670269143733</v>
      </c>
      <c r="AX27" s="3" t="str">
        <f t="shared" ca="1" si="23"/>
        <v/>
      </c>
    </row>
    <row r="28" spans="1:50" x14ac:dyDescent="0.3">
      <c r="A28" s="29"/>
      <c r="B28" s="40"/>
      <c r="C28" s="37"/>
      <c r="D28" s="57"/>
      <c r="E28" s="58"/>
      <c r="F28" s="37"/>
      <c r="G28" s="47"/>
      <c r="H28" s="59"/>
      <c r="I28" s="37" t="str">
        <f t="shared" si="24"/>
        <v xml:space="preserve">, </v>
      </c>
      <c r="N28" s="3">
        <v>26</v>
      </c>
      <c r="O28" s="3"/>
      <c r="P28" s="3"/>
      <c r="Q28" s="3"/>
      <c r="R28" s="3" t="e">
        <f t="shared" ca="1" si="3"/>
        <v>#N/A</v>
      </c>
      <c r="S28" s="4" t="e">
        <f t="shared" ca="1" si="4"/>
        <v>#N/A</v>
      </c>
      <c r="T28" s="3">
        <f t="shared" ca="1" si="5"/>
        <v>1</v>
      </c>
      <c r="U28" s="3" t="e">
        <f t="shared" ca="1" si="25"/>
        <v>#N/A</v>
      </c>
      <c r="W28" s="3" t="str">
        <f t="shared" si="7"/>
        <v/>
      </c>
      <c r="X28" s="3" t="str">
        <f t="shared" ca="1" si="8"/>
        <v/>
      </c>
      <c r="AK28" s="3"/>
      <c r="AL28" s="19"/>
      <c r="AN28" s="3">
        <v>26</v>
      </c>
      <c r="AO28" s="3" t="str">
        <f t="shared" ca="1" si="19"/>
        <v/>
      </c>
      <c r="AP28" s="3" t="str">
        <f t="shared" ca="1" si="20"/>
        <v/>
      </c>
      <c r="AQ28" s="3" t="str">
        <f t="shared" ca="1" si="21"/>
        <v/>
      </c>
      <c r="AR28" s="3">
        <f t="shared" ca="1" si="26"/>
        <v>10.136731470345437</v>
      </c>
      <c r="AS28" s="4">
        <f t="shared" ca="1" si="27"/>
        <v>54.315087109107374</v>
      </c>
      <c r="AT28" s="3">
        <f t="shared" ca="1" si="13"/>
        <v>1</v>
      </c>
      <c r="AU28" s="3" t="str">
        <f t="shared" ca="1" si="14"/>
        <v>54.3150871091074, 10.1367314703454</v>
      </c>
      <c r="AV28" s="70" t="str">
        <f ca="1">IF(AW28&lt;0.5,G_DISTANCE(AU28, $M$3),"")</f>
        <v/>
      </c>
      <c r="AW28" s="3">
        <f t="shared" ca="1" si="22"/>
        <v>0.80147367414310411</v>
      </c>
      <c r="AX28" s="3" t="str">
        <f t="shared" ca="1" si="23"/>
        <v/>
      </c>
    </row>
    <row r="29" spans="1:50" x14ac:dyDescent="0.3">
      <c r="A29" s="29" t="s">
        <v>44</v>
      </c>
      <c r="B29" s="40">
        <f ca="1">MIN(X3:X12)</f>
        <v>3.516</v>
      </c>
      <c r="C29" s="37"/>
      <c r="D29" s="57"/>
      <c r="E29" s="58"/>
      <c r="F29" s="37"/>
      <c r="G29" s="47"/>
      <c r="H29" s="59"/>
      <c r="I29" s="37" t="str">
        <f t="shared" si="24"/>
        <v xml:space="preserve">, </v>
      </c>
      <c r="N29" s="3">
        <v>27</v>
      </c>
      <c r="O29" s="3"/>
      <c r="P29" s="3"/>
      <c r="Q29" s="3"/>
      <c r="R29" s="3" t="e">
        <f t="shared" ca="1" si="3"/>
        <v>#N/A</v>
      </c>
      <c r="S29" s="4" t="e">
        <f t="shared" ca="1" si="4"/>
        <v>#N/A</v>
      </c>
      <c r="T29" s="3">
        <f t="shared" ca="1" si="5"/>
        <v>1</v>
      </c>
      <c r="U29" s="3" t="e">
        <f t="shared" ca="1" si="25"/>
        <v>#N/A</v>
      </c>
      <c r="W29" s="3" t="str">
        <f t="shared" si="7"/>
        <v/>
      </c>
      <c r="X29" s="3" t="str">
        <f t="shared" ca="1" si="8"/>
        <v/>
      </c>
      <c r="AK29" s="3"/>
      <c r="AL29" s="19"/>
      <c r="AN29" s="3">
        <v>27</v>
      </c>
      <c r="AO29" s="3" t="str">
        <f t="shared" ca="1" si="19"/>
        <v/>
      </c>
      <c r="AP29" s="3" t="str">
        <f t="shared" ca="1" si="20"/>
        <v/>
      </c>
      <c r="AQ29" s="3" t="str">
        <f t="shared" ca="1" si="21"/>
        <v/>
      </c>
      <c r="AR29" s="3">
        <f t="shared" ca="1" si="26"/>
        <v>10.118554926273141</v>
      </c>
      <c r="AS29" s="4">
        <f t="shared" ca="1" si="27"/>
        <v>54.323888825818692</v>
      </c>
      <c r="AT29" s="3">
        <f t="shared" ca="1" si="13"/>
        <v>1</v>
      </c>
      <c r="AU29" s="3" t="str">
        <f t="shared" ca="1" si="14"/>
        <v>54.3238888258187, 10.1185549262731</v>
      </c>
      <c r="AV29" s="70" t="str">
        <f ca="1">IF(AW29&lt;0.5,G_DISTANCE(AU29, $M$3),"")</f>
        <v/>
      </c>
      <c r="AW29" s="3">
        <f t="shared" ca="1" si="22"/>
        <v>0.73469718547317409</v>
      </c>
      <c r="AX29" s="3" t="str">
        <f t="shared" ca="1" si="23"/>
        <v/>
      </c>
    </row>
    <row r="30" spans="1:50" ht="15" thickBot="1" x14ac:dyDescent="0.35">
      <c r="A30" s="29" t="s">
        <v>45</v>
      </c>
      <c r="B30" s="40">
        <f ca="1">SMALL(X3:X12,2)</f>
        <v>3.5255999999999998</v>
      </c>
      <c r="D30" s="60"/>
      <c r="E30" s="61"/>
      <c r="F30" s="62"/>
      <c r="G30" s="63"/>
      <c r="H30" s="64"/>
      <c r="I30" s="51"/>
      <c r="N30" s="3">
        <v>28</v>
      </c>
      <c r="O30" s="3"/>
      <c r="P30" s="3"/>
      <c r="Q30" s="3"/>
      <c r="R30" s="3" t="e">
        <f t="shared" ca="1" si="3"/>
        <v>#N/A</v>
      </c>
      <c r="S30" s="4" t="e">
        <f t="shared" ca="1" si="4"/>
        <v>#N/A</v>
      </c>
      <c r="T30" s="3">
        <f t="shared" ca="1" si="5"/>
        <v>1</v>
      </c>
      <c r="U30" s="3" t="e">
        <f t="shared" ca="1" si="25"/>
        <v>#N/A</v>
      </c>
      <c r="W30" s="3" t="str">
        <f t="shared" si="7"/>
        <v/>
      </c>
      <c r="X30" s="3" t="str">
        <f t="shared" ca="1" si="8"/>
        <v/>
      </c>
      <c r="AN30" s="3">
        <v>28</v>
      </c>
      <c r="AO30" s="3" t="str">
        <f t="shared" ca="1" si="19"/>
        <v/>
      </c>
      <c r="AP30" s="3" t="str">
        <f t="shared" ca="1" si="20"/>
        <v/>
      </c>
      <c r="AQ30" s="3" t="str">
        <f t="shared" ca="1" si="21"/>
        <v/>
      </c>
      <c r="AR30" s="3">
        <f t="shared" ca="1" si="26"/>
        <v>10.148391704082506</v>
      </c>
      <c r="AS30" s="4">
        <f t="shared" ca="1" si="27"/>
        <v>54.323757826264682</v>
      </c>
      <c r="AT30" s="3">
        <f t="shared" ca="1" si="13"/>
        <v>1</v>
      </c>
      <c r="AU30" s="3" t="str">
        <f t="shared" ca="1" si="14"/>
        <v>54.3237578262647, 10.1483917040825</v>
      </c>
      <c r="AV30" s="70" t="str">
        <f ca="1">IF(AW30&lt;0.5,G_DISTANCE(AU30, $M$3),"")</f>
        <v/>
      </c>
      <c r="AW30" s="3">
        <f t="shared" ca="1" si="22"/>
        <v>1.4301920365939567</v>
      </c>
      <c r="AX30" s="3" t="str">
        <f t="shared" ca="1" si="23"/>
        <v/>
      </c>
    </row>
    <row r="31" spans="1:50" x14ac:dyDescent="0.3">
      <c r="A31" s="29"/>
      <c r="B31" s="40"/>
      <c r="N31" s="3">
        <v>29</v>
      </c>
      <c r="O31" s="3"/>
      <c r="P31" s="3"/>
      <c r="Q31" s="3"/>
      <c r="R31" s="3" t="e">
        <f t="shared" ca="1" si="3"/>
        <v>#N/A</v>
      </c>
      <c r="S31" s="4" t="e">
        <f t="shared" ca="1" si="4"/>
        <v>#N/A</v>
      </c>
      <c r="T31" s="3">
        <f t="shared" ca="1" si="5"/>
        <v>1</v>
      </c>
      <c r="U31" s="3" t="e">
        <f t="shared" ca="1" si="25"/>
        <v>#N/A</v>
      </c>
      <c r="W31" s="3" t="str">
        <f t="shared" si="7"/>
        <v/>
      </c>
      <c r="X31" s="3" t="str">
        <f t="shared" ca="1" si="8"/>
        <v/>
      </c>
      <c r="AN31" s="3">
        <v>29</v>
      </c>
      <c r="AO31" s="3" t="str">
        <f t="shared" ca="1" si="19"/>
        <v/>
      </c>
      <c r="AP31" s="3" t="str">
        <f t="shared" ca="1" si="20"/>
        <v/>
      </c>
      <c r="AQ31" s="3" t="str">
        <f t="shared" ca="1" si="21"/>
        <v>3</v>
      </c>
      <c r="AR31" s="3">
        <f t="shared" ca="1" si="26"/>
        <v>10.130233681654595</v>
      </c>
      <c r="AS31" s="4">
        <f t="shared" ca="1" si="27"/>
        <v>54.323029772889264</v>
      </c>
      <c r="AT31" s="3">
        <f t="shared" ca="1" si="13"/>
        <v>1</v>
      </c>
      <c r="AU31" s="3" t="str">
        <f t="shared" ca="1" si="14"/>
        <v>54.3230297728893, 10.1302336816546</v>
      </c>
      <c r="AV31" s="70">
        <f ca="1">IF(AW31&lt;0.5,G_DISTANCE(AU31, $M$3),"")</f>
        <v>0.55500000000000005</v>
      </c>
      <c r="AW31" s="3">
        <f t="shared" ca="1" si="22"/>
        <v>0.39942160673210014</v>
      </c>
      <c r="AX31" s="3">
        <f t="shared" ca="1" si="23"/>
        <v>4.6625000000000005</v>
      </c>
    </row>
    <row r="32" spans="1:50" x14ac:dyDescent="0.3">
      <c r="A32" s="29" t="s">
        <v>33</v>
      </c>
      <c r="B32" s="40">
        <f ca="1">MIN(AL3:AL24)</f>
        <v>10.1</v>
      </c>
      <c r="N32" s="48">
        <v>30</v>
      </c>
      <c r="O32" s="48"/>
      <c r="P32" s="48"/>
      <c r="Q32" s="48"/>
      <c r="R32" s="48" t="e">
        <f t="shared" ca="1" si="3"/>
        <v>#N/A</v>
      </c>
      <c r="S32" s="49" t="e">
        <f t="shared" ca="1" si="4"/>
        <v>#N/A</v>
      </c>
      <c r="T32" s="48">
        <f t="shared" ca="1" si="5"/>
        <v>1</v>
      </c>
      <c r="U32" s="48" t="e">
        <f t="shared" ca="1" si="25"/>
        <v>#N/A</v>
      </c>
      <c r="W32" s="48" t="str">
        <f t="shared" si="7"/>
        <v/>
      </c>
      <c r="X32" s="3" t="str">
        <f t="shared" ca="1" si="8"/>
        <v/>
      </c>
      <c r="AN32" s="48">
        <v>30</v>
      </c>
      <c r="AO32" s="3" t="str">
        <f t="shared" ca="1" si="19"/>
        <v/>
      </c>
      <c r="AP32" s="3" t="str">
        <f t="shared" ca="1" si="20"/>
        <v/>
      </c>
      <c r="AQ32" s="3" t="str">
        <f t="shared" ca="1" si="21"/>
        <v/>
      </c>
      <c r="AR32" s="3">
        <f t="shared" ca="1" si="26"/>
        <v>10.115503042100967</v>
      </c>
      <c r="AS32" s="4">
        <f t="shared" ca="1" si="27"/>
        <v>54.319427869712101</v>
      </c>
      <c r="AT32" s="48">
        <f t="shared" ca="1" si="13"/>
        <v>1</v>
      </c>
      <c r="AU32" s="48" t="str">
        <f t="shared" ca="1" si="14"/>
        <v>54.3194278697121, 10.115503042101</v>
      </c>
      <c r="AV32" s="70" t="str">
        <f ca="1">IF(AW32&lt;0.5,G_DISTANCE(AU32, $M$3),"")</f>
        <v/>
      </c>
      <c r="AW32" s="3">
        <f t="shared" ca="1" si="22"/>
        <v>0.77905175779509916</v>
      </c>
      <c r="AX32" s="3" t="str">
        <f t="shared" ca="1" si="23"/>
        <v/>
      </c>
    </row>
    <row r="33" spans="1:50" x14ac:dyDescent="0.3">
      <c r="A33" s="29" t="s">
        <v>66</v>
      </c>
      <c r="B33" s="41">
        <f ca="1">MIN(AX3:AX52)</f>
        <v>3.0874999999999999</v>
      </c>
      <c r="N33" s="50"/>
      <c r="O33" s="50"/>
      <c r="P33" s="50"/>
      <c r="Q33" s="50"/>
      <c r="R33" s="50"/>
      <c r="S33" s="51"/>
      <c r="T33" s="50"/>
      <c r="U33" s="50"/>
      <c r="V33" s="72"/>
      <c r="W33" s="50"/>
      <c r="X33" s="50"/>
      <c r="Y33" s="37"/>
      <c r="Z33" s="37"/>
      <c r="AA33" s="37"/>
      <c r="AB33" s="37"/>
      <c r="AN33" s="3">
        <v>31</v>
      </c>
      <c r="AO33" s="3" t="str">
        <f t="shared" ca="1" si="19"/>
        <v/>
      </c>
      <c r="AP33" s="3" t="str">
        <f t="shared" ca="1" si="20"/>
        <v/>
      </c>
      <c r="AQ33" s="3" t="str">
        <f t="shared" ca="1" si="21"/>
        <v/>
      </c>
      <c r="AR33" s="3">
        <f t="shared" ca="1" si="26"/>
        <v>10.112380424844309</v>
      </c>
      <c r="AS33" s="4">
        <f t="shared" ca="1" si="27"/>
        <v>54.315998979768871</v>
      </c>
      <c r="AT33" s="48">
        <f t="shared" ref="AT33:AT52" ca="1" si="28">IF(RAND()&lt;$B$19,1,0)</f>
        <v>1</v>
      </c>
      <c r="AU33" s="48" t="str">
        <f t="shared" ref="AU33:AU52" ca="1" si="29">AS33&amp;", "&amp;AR33</f>
        <v>54.3159989797689, 10.1123804248443</v>
      </c>
      <c r="AV33" s="70" t="str">
        <f ca="1">IF(AW33&lt;0.5,G_DISTANCE(AU33, $M$3),"")</f>
        <v/>
      </c>
      <c r="AW33" s="3">
        <f t="shared" ca="1" si="22"/>
        <v>1.0695271066515861</v>
      </c>
      <c r="AX33" s="3" t="str">
        <f t="shared" ca="1" si="23"/>
        <v/>
      </c>
    </row>
    <row r="34" spans="1:50" x14ac:dyDescent="0.3">
      <c r="A34" s="29" t="s">
        <v>34</v>
      </c>
      <c r="B34" s="41">
        <f ca="1">COUNTIF(AJ3:AJ1002,"&lt;.2")</f>
        <v>0</v>
      </c>
      <c r="C34" s="37"/>
      <c r="N34" s="50"/>
      <c r="O34" s="50"/>
      <c r="P34" s="50"/>
      <c r="Q34" s="50"/>
      <c r="R34" s="50"/>
      <c r="S34" s="51"/>
      <c r="T34" s="50"/>
      <c r="U34" s="50"/>
      <c r="V34" s="72"/>
      <c r="W34" s="50"/>
      <c r="X34" s="50"/>
      <c r="Y34" s="37"/>
      <c r="Z34" s="37"/>
      <c r="AA34" s="37"/>
      <c r="AB34" s="37"/>
      <c r="AN34" s="3">
        <v>32</v>
      </c>
      <c r="AO34" s="3" t="str">
        <f t="shared" ca="1" si="19"/>
        <v/>
      </c>
      <c r="AP34" s="3" t="str">
        <f t="shared" ca="1" si="20"/>
        <v/>
      </c>
      <c r="AQ34" s="3" t="str">
        <f t="shared" ca="1" si="21"/>
        <v/>
      </c>
      <c r="AR34" s="3">
        <f t="shared" ca="1" si="26"/>
        <v>10.118761368681742</v>
      </c>
      <c r="AS34" s="4">
        <f t="shared" ca="1" si="27"/>
        <v>54.307649585339604</v>
      </c>
      <c r="AT34" s="48">
        <f t="shared" ca="1" si="28"/>
        <v>1</v>
      </c>
      <c r="AU34" s="48" t="str">
        <f t="shared" ca="1" si="29"/>
        <v>54.3076495853396, 10.1187613686817</v>
      </c>
      <c r="AV34" s="70" t="str">
        <f ca="1">IF(AW34&lt;0.5,G_DISTANCE(AU34, $M$3),"")</f>
        <v/>
      </c>
      <c r="AW34" s="3">
        <f t="shared" ca="1" si="22"/>
        <v>1.4690019832899492</v>
      </c>
      <c r="AX34" s="3" t="str">
        <f t="shared" ca="1" si="23"/>
        <v/>
      </c>
    </row>
    <row r="35" spans="1:50" x14ac:dyDescent="0.3">
      <c r="A35" s="29" t="s">
        <v>35</v>
      </c>
      <c r="B35" s="41">
        <f ca="1">COUNTIF(W3:W1002,"&lt;3")</f>
        <v>10</v>
      </c>
      <c r="C35" s="37"/>
      <c r="N35" s="50"/>
      <c r="O35" s="50"/>
      <c r="P35" s="50"/>
      <c r="Q35" s="50"/>
      <c r="R35" s="50"/>
      <c r="S35" s="51"/>
      <c r="T35" s="50"/>
      <c r="U35" s="50"/>
      <c r="V35" s="72"/>
      <c r="W35" s="50"/>
      <c r="X35" s="50"/>
      <c r="Y35" s="37"/>
      <c r="Z35" s="37"/>
      <c r="AA35" s="37"/>
      <c r="AB35" s="37"/>
      <c r="AN35" s="3">
        <v>33</v>
      </c>
      <c r="AO35" s="3" t="str">
        <f t="shared" ca="1" si="19"/>
        <v/>
      </c>
      <c r="AP35" s="3" t="str">
        <f t="shared" ca="1" si="20"/>
        <v/>
      </c>
      <c r="AQ35" s="3" t="str">
        <f t="shared" ca="1" si="21"/>
        <v/>
      </c>
      <c r="AR35" s="3">
        <f t="shared" ca="1" si="26"/>
        <v>10.135929438910171</v>
      </c>
      <c r="AS35" s="4">
        <f t="shared" ca="1" si="27"/>
        <v>54.317973131707163</v>
      </c>
      <c r="AT35" s="48">
        <f t="shared" ca="1" si="28"/>
        <v>1</v>
      </c>
      <c r="AU35" s="48" t="str">
        <f t="shared" ca="1" si="29"/>
        <v>54.3179731317072, 10.1359294389102</v>
      </c>
      <c r="AV35" s="70" t="str">
        <f ca="1">IF(AW35&lt;0.5,G_DISTANCE(AU35, $M$3),"")</f>
        <v/>
      </c>
      <c r="AW35" s="3">
        <f t="shared" ca="1" si="22"/>
        <v>0.5884274099472212</v>
      </c>
      <c r="AX35" s="3" t="str">
        <f t="shared" ca="1" si="23"/>
        <v/>
      </c>
    </row>
    <row r="36" spans="1:50" x14ac:dyDescent="0.3">
      <c r="A36" s="29" t="s">
        <v>36</v>
      </c>
      <c r="B36" s="40">
        <f>B12/((B5-B3)*B7*(B4-B6)*B8)</f>
        <v>1.4355899080559273</v>
      </c>
      <c r="C36" s="37"/>
      <c r="N36" s="50"/>
      <c r="O36" s="50"/>
      <c r="P36" s="50"/>
      <c r="Q36" s="50"/>
      <c r="R36" s="50"/>
      <c r="S36" s="51"/>
      <c r="T36" s="50"/>
      <c r="U36" s="50"/>
      <c r="V36" s="72"/>
      <c r="W36" s="50"/>
      <c r="X36" s="50"/>
      <c r="Y36" s="37"/>
      <c r="Z36" s="37"/>
      <c r="AA36" s="37"/>
      <c r="AB36" s="37"/>
      <c r="AN36" s="3">
        <v>34</v>
      </c>
      <c r="AO36" s="3" t="str">
        <f t="shared" ca="1" si="19"/>
        <v/>
      </c>
      <c r="AP36" s="3" t="str">
        <f t="shared" ca="1" si="20"/>
        <v/>
      </c>
      <c r="AQ36" s="3" t="str">
        <f t="shared" ca="1" si="21"/>
        <v/>
      </c>
      <c r="AR36" s="3">
        <f t="shared" ca="1" si="26"/>
        <v>10.14644835300275</v>
      </c>
      <c r="AS36" s="4">
        <f t="shared" ca="1" si="27"/>
        <v>54.323250719828131</v>
      </c>
      <c r="AT36" s="48">
        <f t="shared" ca="1" si="28"/>
        <v>1</v>
      </c>
      <c r="AU36" s="48" t="str">
        <f t="shared" ca="1" si="29"/>
        <v>54.3232507198281, 10.1464483530028</v>
      </c>
      <c r="AV36" s="70" t="str">
        <f ca="1">IF(AW36&lt;0.5,G_DISTANCE(AU36, $M$3),"")</f>
        <v/>
      </c>
      <c r="AW36" s="3">
        <f t="shared" ca="1" si="22"/>
        <v>1.2926569869814075</v>
      </c>
      <c r="AX36" s="3" t="str">
        <f t="shared" ca="1" si="23"/>
        <v/>
      </c>
    </row>
    <row r="37" spans="1:50" ht="15" thickBot="1" x14ac:dyDescent="0.35">
      <c r="A37" s="42" t="s">
        <v>54</v>
      </c>
      <c r="B37" s="43">
        <f ca="1">MIN(B29,B32)-B26</f>
        <v>-0.54573913043478228</v>
      </c>
      <c r="C37" s="44"/>
      <c r="N37" s="50"/>
      <c r="O37" s="50"/>
      <c r="P37" s="50"/>
      <c r="Q37" s="50"/>
      <c r="R37" s="50"/>
      <c r="S37" s="51"/>
      <c r="T37" s="50"/>
      <c r="U37" s="50"/>
      <c r="V37" s="72"/>
      <c r="W37" s="50"/>
      <c r="X37" s="50"/>
      <c r="Y37" s="37"/>
      <c r="Z37" s="37"/>
      <c r="AA37" s="37"/>
      <c r="AB37" s="37"/>
      <c r="AN37" s="3">
        <v>35</v>
      </c>
      <c r="AO37" s="3" t="str">
        <f t="shared" ca="1" si="19"/>
        <v/>
      </c>
      <c r="AP37" s="3" t="str">
        <f t="shared" ca="1" si="20"/>
        <v/>
      </c>
      <c r="AQ37" s="3" t="str">
        <f t="shared" ca="1" si="21"/>
        <v/>
      </c>
      <c r="AR37" s="3">
        <f t="shared" ca="1" si="26"/>
        <v>10.120691626972933</v>
      </c>
      <c r="AS37" s="4">
        <f t="shared" ca="1" si="27"/>
        <v>54.332834313244661</v>
      </c>
      <c r="AT37" s="48">
        <f t="shared" ca="1" si="28"/>
        <v>1</v>
      </c>
      <c r="AU37" s="48" t="str">
        <f t="shared" ca="1" si="29"/>
        <v>54.3328343132447, 10.1206916269729</v>
      </c>
      <c r="AV37" s="70" t="str">
        <f ca="1">IF(AW37&lt;0.5,G_DISTANCE(AU37, $M$3),"")</f>
        <v/>
      </c>
      <c r="AW37" s="3">
        <f t="shared" ca="1" si="22"/>
        <v>1.5131404776124238</v>
      </c>
      <c r="AX37" s="3" t="str">
        <f t="shared" ca="1" si="23"/>
        <v/>
      </c>
    </row>
    <row r="38" spans="1:50" x14ac:dyDescent="0.3">
      <c r="C38" s="37"/>
      <c r="N38" s="50"/>
      <c r="O38" s="50"/>
      <c r="P38" s="50"/>
      <c r="Q38" s="50"/>
      <c r="R38" s="50"/>
      <c r="S38" s="51"/>
      <c r="T38" s="50"/>
      <c r="U38" s="50"/>
      <c r="V38" s="72"/>
      <c r="W38" s="50"/>
      <c r="X38" s="50"/>
      <c r="Y38" s="37"/>
      <c r="Z38" s="37"/>
      <c r="AA38" s="37"/>
      <c r="AB38" s="37"/>
      <c r="AN38" s="48">
        <v>36</v>
      </c>
      <c r="AO38" s="3" t="str">
        <f t="shared" ca="1" si="19"/>
        <v/>
      </c>
      <c r="AP38" s="3" t="str">
        <f t="shared" ca="1" si="20"/>
        <v/>
      </c>
      <c r="AQ38" s="3" t="str">
        <f t="shared" ca="1" si="21"/>
        <v/>
      </c>
      <c r="AR38" s="3">
        <f t="shared" ca="1" si="26"/>
        <v>10.11993415620312</v>
      </c>
      <c r="AS38" s="4">
        <f t="shared" ca="1" si="27"/>
        <v>54.321503262316121</v>
      </c>
      <c r="AT38" s="48">
        <f t="shared" ca="1" si="28"/>
        <v>1</v>
      </c>
      <c r="AU38" s="48" t="str">
        <f t="shared" ca="1" si="29"/>
        <v>54.3215032623161, 10.1199341562031</v>
      </c>
      <c r="AV38" s="70" t="str">
        <f ca="1">IF(AW38&lt;0.5,G_DISTANCE(AU38, $M$3),"")</f>
        <v/>
      </c>
      <c r="AW38" s="3">
        <f t="shared" ca="1" si="22"/>
        <v>0.52381404007897836</v>
      </c>
      <c r="AX38" s="3" t="str">
        <f t="shared" ca="1" si="23"/>
        <v/>
      </c>
    </row>
    <row r="39" spans="1:50" x14ac:dyDescent="0.3">
      <c r="C39" s="37"/>
      <c r="N39" s="50"/>
      <c r="O39" s="50"/>
      <c r="P39" s="50"/>
      <c r="Q39" s="50"/>
      <c r="R39" s="50"/>
      <c r="S39" s="51"/>
      <c r="T39" s="50"/>
      <c r="U39" s="50"/>
      <c r="V39" s="72"/>
      <c r="W39" s="50"/>
      <c r="X39" s="50"/>
      <c r="Y39" s="37"/>
      <c r="Z39" s="37"/>
      <c r="AA39" s="37"/>
      <c r="AB39" s="37"/>
      <c r="AN39" s="3">
        <v>37</v>
      </c>
      <c r="AO39" s="3" t="str">
        <f t="shared" ca="1" si="19"/>
        <v/>
      </c>
      <c r="AP39" s="3" t="str">
        <f t="shared" ca="1" si="20"/>
        <v/>
      </c>
      <c r="AQ39" s="3" t="str">
        <f t="shared" ca="1" si="21"/>
        <v/>
      </c>
      <c r="AR39" s="3">
        <f t="shared" ca="1" si="26"/>
        <v>10.133917175344919</v>
      </c>
      <c r="AS39" s="4">
        <f t="shared" ca="1" si="27"/>
        <v>54.320672166946544</v>
      </c>
      <c r="AT39" s="48">
        <f t="shared" ca="1" si="28"/>
        <v>1</v>
      </c>
      <c r="AU39" s="48" t="str">
        <f t="shared" ca="1" si="29"/>
        <v>54.3206721669465, 10.1339171753449</v>
      </c>
      <c r="AV39" s="70">
        <f ca="1">IF(AW39&lt;0.5,G_DISTANCE(AU39, $M$3),"")</f>
        <v>0.56599999999999995</v>
      </c>
      <c r="AW39" s="3">
        <f t="shared" ca="1" si="22"/>
        <v>0.43045507965243057</v>
      </c>
      <c r="AX39" s="3">
        <f t="shared" ca="1" si="23"/>
        <v>4.7449999999999992</v>
      </c>
    </row>
    <row r="40" spans="1:50" x14ac:dyDescent="0.3">
      <c r="C40" s="37"/>
      <c r="N40" s="50"/>
      <c r="O40" s="50"/>
      <c r="P40" s="50"/>
      <c r="Q40" s="50"/>
      <c r="R40" s="50"/>
      <c r="S40" s="51"/>
      <c r="T40" s="50"/>
      <c r="U40" s="50"/>
      <c r="V40" s="72"/>
      <c r="W40" s="50"/>
      <c r="X40" s="50"/>
      <c r="Y40" s="37"/>
      <c r="Z40" s="37"/>
      <c r="AA40" s="37"/>
      <c r="AB40" s="37"/>
      <c r="AN40" s="3">
        <v>38</v>
      </c>
      <c r="AO40" s="3" t="str">
        <f t="shared" ca="1" si="19"/>
        <v/>
      </c>
      <c r="AP40" s="3" t="str">
        <f t="shared" ca="1" si="20"/>
        <v/>
      </c>
      <c r="AQ40" s="3" t="str">
        <f t="shared" ca="1" si="21"/>
        <v/>
      </c>
      <c r="AR40" s="3">
        <f t="shared" ca="1" si="26"/>
        <v>10.136544738054255</v>
      </c>
      <c r="AS40" s="4">
        <f t="shared" ca="1" si="27"/>
        <v>54.324774002655175</v>
      </c>
      <c r="AT40" s="48">
        <f t="shared" ca="1" si="28"/>
        <v>1</v>
      </c>
      <c r="AU40" s="48" t="str">
        <f t="shared" ca="1" si="29"/>
        <v>54.3247740026552, 10.1365447380543</v>
      </c>
      <c r="AV40" s="70" t="str">
        <f ca="1">IF(AW40&lt;0.5,G_DISTANCE(AU40, $M$3),"")</f>
        <v/>
      </c>
      <c r="AW40" s="3">
        <f t="shared" ca="1" si="22"/>
        <v>0.8076656904648537</v>
      </c>
      <c r="AX40" s="3" t="str">
        <f t="shared" ca="1" si="23"/>
        <v/>
      </c>
    </row>
    <row r="41" spans="1:50" x14ac:dyDescent="0.3">
      <c r="C41" s="37"/>
      <c r="N41" s="50"/>
      <c r="O41" s="50"/>
      <c r="P41" s="50"/>
      <c r="Q41" s="50"/>
      <c r="R41" s="50"/>
      <c r="S41" s="51"/>
      <c r="T41" s="50"/>
      <c r="U41" s="50"/>
      <c r="V41" s="72"/>
      <c r="W41" s="50"/>
      <c r="X41" s="50"/>
      <c r="Y41" s="37"/>
      <c r="Z41" s="37"/>
      <c r="AA41" s="37"/>
      <c r="AB41" s="37"/>
      <c r="AN41" s="3">
        <v>39</v>
      </c>
      <c r="AO41" s="3" t="str">
        <f t="shared" ca="1" si="19"/>
        <v/>
      </c>
      <c r="AP41" s="3" t="str">
        <f t="shared" ca="1" si="20"/>
        <v/>
      </c>
      <c r="AQ41" s="3" t="str">
        <f t="shared" ca="1" si="21"/>
        <v/>
      </c>
      <c r="AR41" s="3">
        <f t="shared" ca="1" si="26"/>
        <v>10.129746025000275</v>
      </c>
      <c r="AS41" s="4">
        <f t="shared" ca="1" si="27"/>
        <v>54.331412455292984</v>
      </c>
      <c r="AT41" s="48">
        <f t="shared" ca="1" si="28"/>
        <v>1</v>
      </c>
      <c r="AU41" s="48" t="str">
        <f t="shared" ca="1" si="29"/>
        <v>54.331412455293, 10.1297460250003</v>
      </c>
      <c r="AV41" s="70" t="str">
        <f ca="1">IF(AW41&lt;0.5,G_DISTANCE(AU41, $M$3),"")</f>
        <v/>
      </c>
      <c r="AW41" s="3">
        <f t="shared" ca="1" si="22"/>
        <v>1.2979621642050354</v>
      </c>
      <c r="AX41" s="3" t="str">
        <f t="shared" ca="1" si="23"/>
        <v/>
      </c>
    </row>
    <row r="42" spans="1:50" x14ac:dyDescent="0.3">
      <c r="C42" s="37"/>
      <c r="N42" s="50"/>
      <c r="O42" s="50"/>
      <c r="P42" s="50"/>
      <c r="Q42" s="50"/>
      <c r="R42" s="50"/>
      <c r="S42" s="51"/>
      <c r="T42" s="50"/>
      <c r="U42" s="50"/>
      <c r="V42" s="72"/>
      <c r="W42" s="50"/>
      <c r="X42" s="50"/>
      <c r="Y42" s="37"/>
      <c r="Z42" s="37"/>
      <c r="AA42" s="37"/>
      <c r="AB42" s="37"/>
      <c r="AN42" s="3">
        <v>40</v>
      </c>
      <c r="AO42" s="3" t="str">
        <f t="shared" ca="1" si="19"/>
        <v/>
      </c>
      <c r="AP42" s="3" t="str">
        <f t="shared" ca="1" si="20"/>
        <v/>
      </c>
      <c r="AQ42" s="3" t="str">
        <f t="shared" ca="1" si="21"/>
        <v/>
      </c>
      <c r="AR42" s="3">
        <f t="shared" ca="1" si="26"/>
        <v>10.144762155689332</v>
      </c>
      <c r="AS42" s="4">
        <f t="shared" ca="1" si="27"/>
        <v>54.310258673761162</v>
      </c>
      <c r="AT42" s="48">
        <f t="shared" ca="1" si="28"/>
        <v>1</v>
      </c>
      <c r="AU42" s="48" t="str">
        <f t="shared" ca="1" si="29"/>
        <v>54.3102586737612, 10.1447621556893</v>
      </c>
      <c r="AV42" s="70" t="str">
        <f ca="1">IF(AW42&lt;0.5,G_DISTANCE(AU42, $M$3),"")</f>
        <v/>
      </c>
      <c r="AW42" s="3">
        <f t="shared" ca="1" si="22"/>
        <v>1.5497243028745524</v>
      </c>
      <c r="AX42" s="3" t="str">
        <f t="shared" ca="1" si="23"/>
        <v/>
      </c>
    </row>
    <row r="43" spans="1:50" x14ac:dyDescent="0.3">
      <c r="C43" s="37"/>
      <c r="N43" s="50"/>
      <c r="O43" s="50"/>
      <c r="P43" s="50"/>
      <c r="Q43" s="50"/>
      <c r="R43" s="50"/>
      <c r="S43" s="51"/>
      <c r="T43" s="50"/>
      <c r="U43" s="50"/>
      <c r="V43" s="72"/>
      <c r="W43" s="50"/>
      <c r="X43" s="50"/>
      <c r="Y43" s="37"/>
      <c r="Z43" s="37"/>
      <c r="AA43" s="37"/>
      <c r="AB43" s="37"/>
      <c r="AN43" s="3">
        <v>41</v>
      </c>
      <c r="AO43" s="3" t="str">
        <f t="shared" ca="1" si="19"/>
        <v/>
      </c>
      <c r="AP43" s="3" t="str">
        <f t="shared" ca="1" si="20"/>
        <v/>
      </c>
      <c r="AQ43" s="3" t="str">
        <f t="shared" ca="1" si="21"/>
        <v/>
      </c>
      <c r="AR43" s="3">
        <f t="shared" ca="1" si="26"/>
        <v>10.120864780919275</v>
      </c>
      <c r="AS43" s="4">
        <f t="shared" ca="1" si="27"/>
        <v>54.316161285761787</v>
      </c>
      <c r="AT43" s="48">
        <f t="shared" ca="1" si="28"/>
        <v>1</v>
      </c>
      <c r="AU43" s="48" t="str">
        <f t="shared" ca="1" si="29"/>
        <v>54.3161612857618, 10.1208647809193</v>
      </c>
      <c r="AV43" s="70" t="str">
        <f ca="1">IF(AW43&lt;0.5,G_DISTANCE(AU43, $M$3),"")</f>
        <v/>
      </c>
      <c r="AW43" s="3">
        <f t="shared" ca="1" si="22"/>
        <v>0.59217237972972803</v>
      </c>
      <c r="AX43" s="3" t="str">
        <f t="shared" ca="1" si="23"/>
        <v/>
      </c>
    </row>
    <row r="44" spans="1:50" x14ac:dyDescent="0.3">
      <c r="C44" s="37"/>
      <c r="N44" s="50"/>
      <c r="O44" s="50"/>
      <c r="P44" s="50"/>
      <c r="Q44" s="50"/>
      <c r="R44" s="50"/>
      <c r="S44" s="51"/>
      <c r="T44" s="50"/>
      <c r="U44" s="50"/>
      <c r="V44" s="72"/>
      <c r="W44" s="50"/>
      <c r="X44" s="50"/>
      <c r="Y44" s="37"/>
      <c r="Z44" s="37"/>
      <c r="AA44" s="37"/>
      <c r="AB44" s="37"/>
      <c r="AN44" s="48">
        <v>42</v>
      </c>
      <c r="AO44" s="3" t="str">
        <f t="shared" ca="1" si="19"/>
        <v/>
      </c>
      <c r="AP44" s="3" t="str">
        <f t="shared" ca="1" si="20"/>
        <v/>
      </c>
      <c r="AQ44" s="3" t="str">
        <f t="shared" ca="1" si="21"/>
        <v/>
      </c>
      <c r="AR44" s="3">
        <f t="shared" ca="1" si="26"/>
        <v>10.112735373665755</v>
      </c>
      <c r="AS44" s="4">
        <f t="shared" ca="1" si="27"/>
        <v>54.330531280894057</v>
      </c>
      <c r="AT44" s="48">
        <f t="shared" ca="1" si="28"/>
        <v>1</v>
      </c>
      <c r="AU44" s="48" t="str">
        <f t="shared" ca="1" si="29"/>
        <v>54.3305312808941, 10.1127353736658</v>
      </c>
      <c r="AV44" s="70" t="str">
        <f ca="1">IF(AW44&lt;0.5,G_DISTANCE(AU44, $M$3),"")</f>
        <v/>
      </c>
      <c r="AW44" s="3">
        <f t="shared" ca="1" si="22"/>
        <v>1.5286153187637543</v>
      </c>
      <c r="AX44" s="3" t="str">
        <f t="shared" ca="1" si="23"/>
        <v/>
      </c>
    </row>
    <row r="45" spans="1:50" x14ac:dyDescent="0.3">
      <c r="C45" s="37"/>
      <c r="N45" s="50"/>
      <c r="O45" s="50"/>
      <c r="P45" s="50"/>
      <c r="Q45" s="50"/>
      <c r="R45" s="50"/>
      <c r="S45" s="51"/>
      <c r="T45" s="50"/>
      <c r="U45" s="50"/>
      <c r="V45" s="72"/>
      <c r="W45" s="50"/>
      <c r="X45" s="50"/>
      <c r="Y45" s="37"/>
      <c r="Z45" s="37"/>
      <c r="AA45" s="37"/>
      <c r="AB45" s="37"/>
      <c r="AN45" s="3">
        <v>43</v>
      </c>
      <c r="AO45" s="3" t="str">
        <f t="shared" ca="1" si="19"/>
        <v/>
      </c>
      <c r="AP45" s="3" t="str">
        <f t="shared" ca="1" si="20"/>
        <v/>
      </c>
      <c r="AQ45" s="3" t="str">
        <f t="shared" ca="1" si="21"/>
        <v/>
      </c>
      <c r="AR45" s="3">
        <f t="shared" ca="1" si="26"/>
        <v>10.128760214214351</v>
      </c>
      <c r="AS45" s="4">
        <f t="shared" ca="1" si="27"/>
        <v>54.311676912845527</v>
      </c>
      <c r="AT45" s="48">
        <f t="shared" ca="1" si="28"/>
        <v>1</v>
      </c>
      <c r="AU45" s="48" t="str">
        <f t="shared" ca="1" si="29"/>
        <v>54.3116769128455, 10.1287602142144</v>
      </c>
      <c r="AV45" s="70" t="str">
        <f ca="1">IF(AW45&lt;0.5,G_DISTANCE(AU45, $M$3),"")</f>
        <v/>
      </c>
      <c r="AW45" s="3">
        <f t="shared" ca="1" si="22"/>
        <v>0.91131310291362166</v>
      </c>
      <c r="AX45" s="3" t="str">
        <f t="shared" ca="1" si="23"/>
        <v/>
      </c>
    </row>
    <row r="46" spans="1:50" x14ac:dyDescent="0.3">
      <c r="C46" s="37"/>
      <c r="N46" s="50"/>
      <c r="O46" s="50"/>
      <c r="P46" s="50"/>
      <c r="Q46" s="50"/>
      <c r="R46" s="50"/>
      <c r="S46" s="51"/>
      <c r="T46" s="50"/>
      <c r="U46" s="50"/>
      <c r="V46" s="72"/>
      <c r="W46" s="50"/>
      <c r="X46" s="50"/>
      <c r="Y46" s="37"/>
      <c r="Z46" s="37"/>
      <c r="AA46" s="37"/>
      <c r="AB46" s="37"/>
      <c r="AN46" s="3">
        <v>44</v>
      </c>
      <c r="AO46" s="3" t="str">
        <f t="shared" ca="1" si="19"/>
        <v/>
      </c>
      <c r="AP46" s="3" t="str">
        <f t="shared" ca="1" si="20"/>
        <v/>
      </c>
      <c r="AQ46" s="3" t="str">
        <f t="shared" ca="1" si="21"/>
        <v/>
      </c>
      <c r="AR46" s="3">
        <f t="shared" ca="1" si="26"/>
        <v>10.133460653766319</v>
      </c>
      <c r="AS46" s="4">
        <f t="shared" ca="1" si="27"/>
        <v>54.330866366484955</v>
      </c>
      <c r="AT46" s="48">
        <f t="shared" ca="1" si="28"/>
        <v>1</v>
      </c>
      <c r="AU46" s="48" t="str">
        <f t="shared" ca="1" si="29"/>
        <v>54.330866366485, 10.1334606537663</v>
      </c>
      <c r="AV46" s="70" t="str">
        <f ca="1">IF(AW46&lt;0.5,G_DISTANCE(AU46, $M$3),"")</f>
        <v/>
      </c>
      <c r="AW46" s="3">
        <f t="shared" ca="1" si="22"/>
        <v>1.2891564045621808</v>
      </c>
      <c r="AX46" s="3" t="str">
        <f t="shared" ca="1" si="23"/>
        <v/>
      </c>
    </row>
    <row r="47" spans="1:50" x14ac:dyDescent="0.3">
      <c r="C47" s="37"/>
      <c r="N47" s="50"/>
      <c r="O47" s="50"/>
      <c r="P47" s="50"/>
      <c r="Q47" s="50"/>
      <c r="R47" s="50"/>
      <c r="S47" s="51"/>
      <c r="T47" s="50"/>
      <c r="U47" s="50"/>
      <c r="V47" s="72"/>
      <c r="W47" s="50"/>
      <c r="X47" s="50"/>
      <c r="Y47" s="37"/>
      <c r="Z47" s="37"/>
      <c r="AA47" s="37"/>
      <c r="AB47" s="37"/>
      <c r="AC47" s="72"/>
      <c r="AD47" s="37"/>
      <c r="AN47" s="3">
        <v>45</v>
      </c>
      <c r="AO47" s="3" t="str">
        <f t="shared" ca="1" si="19"/>
        <v/>
      </c>
      <c r="AP47" s="3" t="str">
        <f t="shared" ca="1" si="20"/>
        <v/>
      </c>
      <c r="AQ47" s="3" t="str">
        <f t="shared" ca="1" si="21"/>
        <v/>
      </c>
      <c r="AR47" s="3">
        <f t="shared" ca="1" si="26"/>
        <v>10.124135198889192</v>
      </c>
      <c r="AS47" s="4">
        <f t="shared" ca="1" si="27"/>
        <v>54.32671156318456</v>
      </c>
      <c r="AT47" s="48">
        <f t="shared" ca="1" si="28"/>
        <v>1</v>
      </c>
      <c r="AU47" s="48" t="str">
        <f t="shared" ca="1" si="29"/>
        <v>54.3267115631846, 10.1241351988892</v>
      </c>
      <c r="AV47" s="70" t="str">
        <f ca="1">IF(AW47&lt;0.5,G_DISTANCE(AU47, $M$3),"")</f>
        <v/>
      </c>
      <c r="AW47" s="3">
        <f t="shared" ca="1" si="22"/>
        <v>0.7960802498526609</v>
      </c>
      <c r="AX47" s="3" t="str">
        <f t="shared" ca="1" si="23"/>
        <v/>
      </c>
    </row>
    <row r="48" spans="1:50" x14ac:dyDescent="0.3">
      <c r="C48" s="37"/>
      <c r="N48" s="50"/>
      <c r="O48" s="50"/>
      <c r="P48" s="50"/>
      <c r="Q48" s="50"/>
      <c r="R48" s="50"/>
      <c r="S48" s="51"/>
      <c r="T48" s="50"/>
      <c r="U48" s="50"/>
      <c r="V48" s="72"/>
      <c r="W48" s="50"/>
      <c r="X48" s="50"/>
      <c r="Y48" s="37"/>
      <c r="Z48" s="37"/>
      <c r="AA48" s="37"/>
      <c r="AB48" s="37"/>
      <c r="AC48" s="72"/>
      <c r="AD48" s="37"/>
      <c r="AN48" s="3">
        <v>46</v>
      </c>
      <c r="AO48" s="3" t="str">
        <f t="shared" ca="1" si="19"/>
        <v/>
      </c>
      <c r="AP48" s="3" t="str">
        <f t="shared" ca="1" si="20"/>
        <v/>
      </c>
      <c r="AQ48" s="3" t="str">
        <f t="shared" ca="1" si="21"/>
        <v/>
      </c>
      <c r="AR48" s="3">
        <f t="shared" ca="1" si="26"/>
        <v>10.12078900581729</v>
      </c>
      <c r="AS48" s="4">
        <f t="shared" ca="1" si="27"/>
        <v>54.311763267999872</v>
      </c>
      <c r="AT48" s="48">
        <f t="shared" ca="1" si="28"/>
        <v>1</v>
      </c>
      <c r="AU48" s="48" t="str">
        <f t="shared" ca="1" si="29"/>
        <v>54.3117632679999, 10.1207890058173</v>
      </c>
      <c r="AV48" s="70" t="str">
        <f ca="1">IF(AW48&lt;0.5,G_DISTANCE(AU48, $M$3),"")</f>
        <v/>
      </c>
      <c r="AW48" s="3">
        <f t="shared" ca="1" si="22"/>
        <v>0.99712649473345705</v>
      </c>
      <c r="AX48" s="3" t="str">
        <f t="shared" ca="1" si="23"/>
        <v/>
      </c>
    </row>
    <row r="49" spans="1:50" x14ac:dyDescent="0.3">
      <c r="A49" s="37"/>
      <c r="B49" s="45"/>
      <c r="C49" s="37"/>
      <c r="N49" s="50"/>
      <c r="O49" s="50"/>
      <c r="P49" s="50"/>
      <c r="Q49" s="50"/>
      <c r="R49" s="50"/>
      <c r="S49" s="51"/>
      <c r="T49" s="50"/>
      <c r="U49" s="50"/>
      <c r="V49" s="72"/>
      <c r="W49" s="50"/>
      <c r="X49" s="50"/>
      <c r="Y49" s="37"/>
      <c r="Z49" s="37"/>
      <c r="AA49" s="37"/>
      <c r="AB49" s="37"/>
      <c r="AC49" s="72"/>
      <c r="AD49" s="37"/>
      <c r="AN49" s="3">
        <v>47</v>
      </c>
      <c r="AO49" s="3" t="str">
        <f t="shared" ca="1" si="19"/>
        <v/>
      </c>
      <c r="AP49" s="3" t="str">
        <f t="shared" ca="1" si="20"/>
        <v/>
      </c>
      <c r="AQ49" s="3" t="str">
        <f t="shared" ca="1" si="21"/>
        <v/>
      </c>
      <c r="AR49" s="3">
        <f t="shared" ca="1" si="26"/>
        <v>10.113200718101609</v>
      </c>
      <c r="AS49" s="4">
        <f t="shared" ca="1" si="27"/>
        <v>54.325620901915364</v>
      </c>
      <c r="AT49" s="48">
        <f t="shared" ca="1" si="28"/>
        <v>1</v>
      </c>
      <c r="AU49" s="48" t="str">
        <f t="shared" ca="1" si="29"/>
        <v>54.3256209019154, 10.1132007181016</v>
      </c>
      <c r="AV49" s="70" t="str">
        <f ca="1">IF(AW49&lt;0.5,G_DISTANCE(AU49, $M$3),"")</f>
        <v/>
      </c>
      <c r="AW49" s="3">
        <f t="shared" ca="1" si="22"/>
        <v>1.1296161873044539</v>
      </c>
      <c r="AX49" s="3" t="str">
        <f t="shared" ca="1" si="23"/>
        <v/>
      </c>
    </row>
    <row r="50" spans="1:50" x14ac:dyDescent="0.3">
      <c r="A50" s="37"/>
      <c r="B50" s="37"/>
      <c r="C50" s="37"/>
      <c r="N50" s="50"/>
      <c r="O50" s="50"/>
      <c r="P50" s="50"/>
      <c r="Q50" s="50"/>
      <c r="R50" s="50"/>
      <c r="S50" s="51"/>
      <c r="T50" s="50"/>
      <c r="U50" s="50"/>
      <c r="V50" s="72"/>
      <c r="W50" s="50"/>
      <c r="X50" s="50"/>
      <c r="Y50" s="37"/>
      <c r="Z50" s="37"/>
      <c r="AA50" s="37"/>
      <c r="AB50" s="37"/>
      <c r="AC50" s="72"/>
      <c r="AD50" s="37"/>
      <c r="AN50" s="48">
        <v>48</v>
      </c>
      <c r="AO50" s="3" t="str">
        <f t="shared" ca="1" si="19"/>
        <v/>
      </c>
      <c r="AP50" s="3" t="str">
        <f t="shared" ca="1" si="20"/>
        <v/>
      </c>
      <c r="AQ50" s="3" t="str">
        <f t="shared" ca="1" si="21"/>
        <v/>
      </c>
      <c r="AR50" s="3">
        <f t="shared" ca="1" si="26"/>
        <v>10.113383657787359</v>
      </c>
      <c r="AS50" s="4">
        <f t="shared" ca="1" si="27"/>
        <v>54.310070221462261</v>
      </c>
      <c r="AT50" s="48">
        <f t="shared" ca="1" si="28"/>
        <v>1</v>
      </c>
      <c r="AU50" s="48" t="str">
        <f t="shared" ca="1" si="29"/>
        <v>54.3100702214623, 10.1133836577874</v>
      </c>
      <c r="AV50" s="70" t="str">
        <f ca="1">IF(AW50&lt;0.5,G_DISTANCE(AU50, $M$3),"")</f>
        <v/>
      </c>
      <c r="AW50" s="3">
        <f t="shared" ca="1" si="22"/>
        <v>1.4206586786210527</v>
      </c>
      <c r="AX50" s="3" t="str">
        <f t="shared" ca="1" si="23"/>
        <v/>
      </c>
    </row>
    <row r="51" spans="1:50" x14ac:dyDescent="0.3">
      <c r="A51" s="37"/>
      <c r="B51" s="37"/>
      <c r="C51" s="37"/>
      <c r="N51" s="50"/>
      <c r="O51" s="50"/>
      <c r="P51" s="50"/>
      <c r="Q51" s="50"/>
      <c r="R51" s="50"/>
      <c r="S51" s="51"/>
      <c r="T51" s="50"/>
      <c r="U51" s="50"/>
      <c r="V51" s="72"/>
      <c r="W51" s="50"/>
      <c r="X51" s="50"/>
      <c r="Y51" s="37"/>
      <c r="Z51" s="37"/>
      <c r="AA51" s="37"/>
      <c r="AB51" s="37"/>
      <c r="AC51" s="72"/>
      <c r="AD51" s="37"/>
      <c r="AN51" s="3">
        <v>49</v>
      </c>
      <c r="AO51" s="3" t="str">
        <f t="shared" ca="1" si="19"/>
        <v/>
      </c>
      <c r="AP51" s="3" t="str">
        <f t="shared" ca="1" si="20"/>
        <v/>
      </c>
      <c r="AQ51" s="3" t="str">
        <f t="shared" ca="1" si="21"/>
        <v/>
      </c>
      <c r="AR51" s="3">
        <f t="shared" ca="1" si="26"/>
        <v>10.112117608012516</v>
      </c>
      <c r="AS51" s="4">
        <f t="shared" ca="1" si="27"/>
        <v>54.329747714447919</v>
      </c>
      <c r="AT51" s="48">
        <f t="shared" ca="1" si="28"/>
        <v>1</v>
      </c>
      <c r="AU51" s="48" t="str">
        <f t="shared" ca="1" si="29"/>
        <v>54.3297477144479, 10.1121176080125</v>
      </c>
      <c r="AV51" s="70" t="str">
        <f ca="1">IF(AW51&lt;0.5,G_DISTANCE(AU51, $M$3),"")</f>
        <v/>
      </c>
      <c r="AW51" s="3">
        <f t="shared" ca="1" si="22"/>
        <v>1.4883061422768549</v>
      </c>
      <c r="AX51" s="3" t="str">
        <f t="shared" ca="1" si="23"/>
        <v/>
      </c>
    </row>
    <row r="52" spans="1:50" x14ac:dyDescent="0.3">
      <c r="A52" s="37"/>
      <c r="B52" s="37"/>
      <c r="C52" s="37"/>
      <c r="N52" s="50"/>
      <c r="O52" s="50"/>
      <c r="P52" s="50"/>
      <c r="Q52" s="50"/>
      <c r="R52" s="50"/>
      <c r="S52" s="51"/>
      <c r="T52" s="50"/>
      <c r="U52" s="50"/>
      <c r="V52" s="72"/>
      <c r="W52" s="50"/>
      <c r="X52" s="50"/>
      <c r="Y52" s="37"/>
      <c r="Z52" s="37"/>
      <c r="AA52" s="37"/>
      <c r="AB52" s="37"/>
      <c r="AC52" s="72"/>
      <c r="AD52" s="37"/>
      <c r="AN52" s="3">
        <v>50</v>
      </c>
      <c r="AO52" s="3" t="str">
        <f t="shared" ca="1" si="19"/>
        <v/>
      </c>
      <c r="AP52" s="3" t="str">
        <f t="shared" ca="1" si="20"/>
        <v/>
      </c>
      <c r="AQ52" s="3" t="str">
        <f t="shared" ca="1" si="21"/>
        <v/>
      </c>
      <c r="AR52" s="3">
        <f t="shared" ca="1" si="26"/>
        <v>10.141967621985838</v>
      </c>
      <c r="AS52" s="4">
        <f t="shared" ca="1" si="27"/>
        <v>54.311893047843569</v>
      </c>
      <c r="AT52" s="48">
        <f t="shared" ca="1" si="28"/>
        <v>1</v>
      </c>
      <c r="AU52" s="48" t="str">
        <f t="shared" ca="1" si="29"/>
        <v>54.3118930478436, 10.1419676219858</v>
      </c>
      <c r="AV52" s="70" t="str">
        <f ca="1">IF(AW52&lt;0.5,G_DISTANCE(AU52, $M$3),"")</f>
        <v/>
      </c>
      <c r="AW52" s="3">
        <f t="shared" ca="1" si="22"/>
        <v>1.2926610548307054</v>
      </c>
      <c r="AX52" s="3" t="str">
        <f t="shared" ca="1" si="23"/>
        <v/>
      </c>
    </row>
    <row r="53" spans="1:50" x14ac:dyDescent="0.3">
      <c r="A53" s="37"/>
      <c r="B53" s="37"/>
      <c r="C53" s="37"/>
      <c r="N53" s="50"/>
      <c r="O53" s="50"/>
      <c r="P53" s="50"/>
      <c r="Q53" s="50"/>
      <c r="R53" s="50"/>
      <c r="S53" s="51"/>
      <c r="T53" s="50"/>
      <c r="U53" s="50"/>
      <c r="V53" s="72"/>
      <c r="W53" s="50"/>
      <c r="X53" s="50"/>
      <c r="Y53" s="37"/>
      <c r="Z53" s="37"/>
      <c r="AA53" s="37"/>
      <c r="AB53" s="37"/>
      <c r="AC53" s="72"/>
      <c r="AD53" s="37"/>
      <c r="AN53" s="50"/>
      <c r="AO53" s="3"/>
      <c r="AP53" s="3"/>
      <c r="AQ53" s="3"/>
      <c r="AR53" s="3"/>
      <c r="AS53" s="4"/>
      <c r="AT53" s="50"/>
      <c r="AU53" s="50"/>
      <c r="AW53" s="3"/>
      <c r="AX53" s="3"/>
    </row>
    <row r="54" spans="1:50" x14ac:dyDescent="0.3">
      <c r="A54" s="37"/>
      <c r="B54" s="45"/>
      <c r="C54" s="37"/>
      <c r="N54" s="50"/>
      <c r="O54" s="50"/>
      <c r="P54" s="50"/>
      <c r="Q54" s="50"/>
      <c r="R54" s="50"/>
      <c r="S54" s="51"/>
      <c r="T54" s="50"/>
      <c r="U54" s="50"/>
      <c r="V54" s="72"/>
      <c r="W54" s="50"/>
      <c r="X54" s="50"/>
      <c r="Y54" s="37"/>
      <c r="Z54" s="37"/>
      <c r="AA54" s="37"/>
      <c r="AB54" s="37"/>
      <c r="AC54" s="72"/>
      <c r="AD54" s="37"/>
      <c r="AN54" s="50"/>
      <c r="AO54" s="50"/>
      <c r="AP54" s="50"/>
      <c r="AQ54" s="50"/>
      <c r="AR54" s="50"/>
      <c r="AS54" s="51"/>
      <c r="AT54" s="50"/>
      <c r="AU54" s="50"/>
      <c r="AV54" s="72"/>
      <c r="AW54" s="50"/>
      <c r="AX54" s="50"/>
    </row>
    <row r="55" spans="1:50" x14ac:dyDescent="0.3">
      <c r="A55" s="37"/>
      <c r="B55" s="45"/>
      <c r="C55" s="37"/>
      <c r="N55" s="50"/>
      <c r="O55" s="50"/>
      <c r="P55" s="50"/>
      <c r="Q55" s="50"/>
      <c r="R55" s="50"/>
      <c r="S55" s="51"/>
      <c r="T55" s="50"/>
      <c r="U55" s="50"/>
      <c r="V55" s="72"/>
      <c r="W55" s="50"/>
      <c r="X55" s="50"/>
      <c r="Y55" s="37"/>
      <c r="Z55" s="37"/>
      <c r="AA55" s="37"/>
      <c r="AB55" s="37"/>
      <c r="AC55" s="72"/>
      <c r="AD55" s="37"/>
      <c r="AN55" s="50"/>
      <c r="AO55" s="50"/>
      <c r="AP55" s="50"/>
      <c r="AQ55" s="50"/>
      <c r="AR55" s="50"/>
      <c r="AS55" s="51"/>
      <c r="AT55" s="50"/>
      <c r="AU55" s="50"/>
      <c r="AV55" s="72"/>
      <c r="AW55" s="50"/>
      <c r="AX55" s="50"/>
    </row>
    <row r="56" spans="1:50" x14ac:dyDescent="0.3">
      <c r="A56" s="37"/>
      <c r="B56" s="45"/>
      <c r="C56" s="37"/>
      <c r="N56" s="50"/>
      <c r="O56" s="50"/>
      <c r="P56" s="50"/>
      <c r="Q56" s="50"/>
      <c r="R56" s="50"/>
      <c r="S56" s="51"/>
      <c r="T56" s="50"/>
      <c r="U56" s="50"/>
      <c r="V56" s="72"/>
      <c r="W56" s="50"/>
      <c r="X56" s="50"/>
      <c r="Y56" s="37"/>
      <c r="Z56" s="37"/>
      <c r="AA56" s="37"/>
      <c r="AB56" s="37"/>
      <c r="AC56" s="72"/>
      <c r="AD56" s="37"/>
      <c r="AN56" s="50"/>
      <c r="AO56" s="50"/>
      <c r="AP56" s="50"/>
      <c r="AQ56" s="50"/>
      <c r="AR56" s="50"/>
      <c r="AS56" s="51"/>
      <c r="AT56" s="50"/>
      <c r="AU56" s="50"/>
      <c r="AV56" s="72"/>
      <c r="AW56" s="50"/>
      <c r="AX56" s="50"/>
    </row>
    <row r="57" spans="1:50" x14ac:dyDescent="0.3">
      <c r="A57" s="37"/>
      <c r="B57" s="45"/>
      <c r="C57" s="37"/>
      <c r="N57" s="50"/>
      <c r="O57" s="50"/>
      <c r="P57" s="50"/>
      <c r="Q57" s="50"/>
      <c r="R57" s="50"/>
      <c r="S57" s="51"/>
      <c r="T57" s="50"/>
      <c r="U57" s="50"/>
      <c r="V57" s="72"/>
      <c r="W57" s="50"/>
      <c r="X57" s="50"/>
      <c r="Y57" s="37"/>
      <c r="Z57" s="37"/>
      <c r="AA57" s="37"/>
      <c r="AB57" s="37"/>
      <c r="AC57" s="72"/>
      <c r="AD57" s="37"/>
      <c r="AN57" s="50"/>
      <c r="AO57" s="50"/>
      <c r="AP57" s="50"/>
      <c r="AQ57" s="50"/>
      <c r="AR57" s="50"/>
      <c r="AS57" s="51"/>
      <c r="AT57" s="50"/>
      <c r="AU57" s="50"/>
      <c r="AV57" s="72"/>
      <c r="AW57" s="50"/>
      <c r="AX57" s="50"/>
    </row>
    <row r="58" spans="1:50" x14ac:dyDescent="0.3">
      <c r="A58" s="37"/>
      <c r="B58" s="45"/>
      <c r="C58" s="37"/>
      <c r="N58" s="50"/>
      <c r="O58" s="50"/>
      <c r="P58" s="50"/>
      <c r="Q58" s="50"/>
      <c r="R58" s="50"/>
      <c r="S58" s="51"/>
      <c r="T58" s="50"/>
      <c r="U58" s="50"/>
      <c r="V58" s="72"/>
      <c r="W58" s="50"/>
      <c r="X58" s="50"/>
      <c r="Y58" s="37"/>
      <c r="Z58" s="37"/>
      <c r="AA58" s="37"/>
      <c r="AB58" s="37"/>
      <c r="AC58" s="72"/>
      <c r="AD58" s="37"/>
      <c r="AN58" s="50"/>
      <c r="AO58" s="50"/>
      <c r="AP58" s="50"/>
      <c r="AQ58" s="50"/>
      <c r="AR58" s="50"/>
      <c r="AS58" s="51"/>
      <c r="AT58" s="50"/>
      <c r="AU58" s="50"/>
      <c r="AV58" s="72"/>
      <c r="AW58" s="50"/>
      <c r="AX58" s="50"/>
    </row>
    <row r="59" spans="1:50" x14ac:dyDescent="0.3">
      <c r="A59" s="37"/>
      <c r="B59" s="45"/>
      <c r="C59" s="37"/>
      <c r="N59" s="50"/>
      <c r="O59" s="50"/>
      <c r="P59" s="50"/>
      <c r="Q59" s="50"/>
      <c r="R59" s="50"/>
      <c r="S59" s="51"/>
      <c r="T59" s="50"/>
      <c r="U59" s="50"/>
      <c r="V59" s="72"/>
      <c r="W59" s="50"/>
      <c r="X59" s="50"/>
      <c r="Y59" s="37"/>
      <c r="Z59" s="37"/>
      <c r="AA59" s="37"/>
      <c r="AB59" s="37"/>
      <c r="AC59" s="72"/>
      <c r="AD59" s="37"/>
      <c r="AN59" s="50"/>
      <c r="AO59" s="50"/>
      <c r="AP59" s="50"/>
      <c r="AQ59" s="50"/>
      <c r="AR59" s="50"/>
      <c r="AS59" s="51"/>
      <c r="AT59" s="50"/>
      <c r="AU59" s="50"/>
      <c r="AV59" s="72"/>
      <c r="AW59" s="50"/>
      <c r="AX59" s="50"/>
    </row>
    <row r="60" spans="1:50" x14ac:dyDescent="0.3">
      <c r="A60" s="37"/>
      <c r="B60" s="46"/>
      <c r="C60" s="37"/>
      <c r="N60" s="50"/>
      <c r="O60" s="50"/>
      <c r="P60" s="50"/>
      <c r="Q60" s="50"/>
      <c r="R60" s="50"/>
      <c r="S60" s="51"/>
      <c r="T60" s="50"/>
      <c r="U60" s="50"/>
      <c r="V60" s="72"/>
      <c r="W60" s="50"/>
      <c r="X60" s="50"/>
      <c r="Y60" s="37"/>
      <c r="Z60" s="37"/>
      <c r="AA60" s="37"/>
      <c r="AB60" s="37"/>
      <c r="AC60" s="72"/>
      <c r="AD60" s="37"/>
      <c r="AN60" s="50"/>
      <c r="AO60" s="50"/>
      <c r="AP60" s="50"/>
      <c r="AQ60" s="50"/>
      <c r="AR60" s="50"/>
      <c r="AS60" s="51"/>
      <c r="AT60" s="50"/>
      <c r="AU60" s="50"/>
      <c r="AV60" s="72"/>
      <c r="AW60" s="50"/>
      <c r="AX60" s="50"/>
    </row>
    <row r="61" spans="1:50" x14ac:dyDescent="0.3">
      <c r="A61" s="37"/>
      <c r="B61" s="37"/>
      <c r="C61" s="37"/>
      <c r="N61" s="50"/>
      <c r="O61" s="50"/>
      <c r="P61" s="50"/>
      <c r="Q61" s="50"/>
      <c r="R61" s="50"/>
      <c r="S61" s="51"/>
      <c r="T61" s="50"/>
      <c r="U61" s="50"/>
      <c r="V61" s="72"/>
      <c r="W61" s="50"/>
      <c r="X61" s="50"/>
      <c r="Y61" s="37"/>
      <c r="Z61" s="37"/>
      <c r="AA61" s="37"/>
      <c r="AB61" s="37"/>
      <c r="AC61" s="72"/>
      <c r="AD61" s="37"/>
      <c r="AN61" s="50"/>
      <c r="AO61" s="50"/>
      <c r="AP61" s="50"/>
      <c r="AQ61" s="50"/>
      <c r="AR61" s="50"/>
      <c r="AS61" s="51"/>
      <c r="AT61" s="50"/>
      <c r="AU61" s="50"/>
      <c r="AV61" s="72"/>
      <c r="AW61" s="50"/>
      <c r="AX61" s="50"/>
    </row>
    <row r="62" spans="1:50" x14ac:dyDescent="0.3">
      <c r="A62" s="37"/>
      <c r="B62" s="37"/>
      <c r="C62" s="37"/>
      <c r="N62" s="50"/>
      <c r="O62" s="50"/>
      <c r="P62" s="50"/>
      <c r="Q62" s="50"/>
      <c r="R62" s="50"/>
      <c r="S62" s="51"/>
      <c r="T62" s="50"/>
      <c r="U62" s="50"/>
      <c r="V62" s="72"/>
      <c r="W62" s="50"/>
      <c r="X62" s="50"/>
      <c r="Y62" s="37"/>
      <c r="Z62" s="37"/>
      <c r="AA62" s="37"/>
      <c r="AB62" s="37"/>
      <c r="AC62" s="72"/>
      <c r="AD62" s="37"/>
      <c r="AN62" s="50"/>
      <c r="AO62" s="50"/>
      <c r="AP62" s="50"/>
      <c r="AQ62" s="50"/>
      <c r="AR62" s="50"/>
      <c r="AS62" s="51"/>
      <c r="AT62" s="50"/>
      <c r="AU62" s="50"/>
      <c r="AV62" s="72"/>
      <c r="AW62" s="50"/>
      <c r="AX62" s="50"/>
    </row>
    <row r="63" spans="1:50" x14ac:dyDescent="0.3">
      <c r="A63" s="37"/>
      <c r="B63" s="37"/>
      <c r="C63" s="37"/>
      <c r="N63" s="50"/>
      <c r="O63" s="50"/>
      <c r="P63" s="50"/>
      <c r="Q63" s="50"/>
      <c r="R63" s="50"/>
      <c r="S63" s="51"/>
      <c r="T63" s="50"/>
      <c r="U63" s="50"/>
      <c r="V63" s="72"/>
      <c r="W63" s="50"/>
      <c r="X63" s="50"/>
      <c r="Y63" s="37"/>
      <c r="Z63" s="37"/>
      <c r="AA63" s="37"/>
      <c r="AB63" s="37"/>
      <c r="AC63" s="72"/>
      <c r="AD63" s="37"/>
      <c r="AN63" s="50"/>
      <c r="AO63" s="50"/>
      <c r="AP63" s="50"/>
      <c r="AQ63" s="50"/>
      <c r="AR63" s="50"/>
      <c r="AS63" s="51"/>
      <c r="AT63" s="50"/>
      <c r="AU63" s="50"/>
      <c r="AV63" s="72"/>
      <c r="AW63" s="50"/>
      <c r="AX63" s="50"/>
    </row>
    <row r="64" spans="1:50" x14ac:dyDescent="0.3">
      <c r="A64" s="37"/>
      <c r="B64" s="45"/>
      <c r="C64" s="37"/>
      <c r="N64" s="50"/>
      <c r="O64" s="50"/>
      <c r="P64" s="50"/>
      <c r="Q64" s="50"/>
      <c r="R64" s="50"/>
      <c r="S64" s="51"/>
      <c r="T64" s="50"/>
      <c r="U64" s="50"/>
      <c r="V64" s="72"/>
      <c r="W64" s="50"/>
      <c r="X64" s="50"/>
      <c r="Y64" s="37"/>
      <c r="Z64" s="37"/>
      <c r="AA64" s="37"/>
      <c r="AB64" s="37"/>
      <c r="AC64" s="72"/>
      <c r="AD64" s="37"/>
      <c r="AN64" s="50"/>
      <c r="AO64" s="50"/>
      <c r="AP64" s="50"/>
      <c r="AQ64" s="50"/>
      <c r="AR64" s="50"/>
      <c r="AS64" s="51"/>
      <c r="AT64" s="50"/>
      <c r="AU64" s="50"/>
      <c r="AV64" s="72"/>
      <c r="AW64" s="50"/>
      <c r="AX64" s="50"/>
    </row>
    <row r="65" spans="1:50" x14ac:dyDescent="0.3">
      <c r="A65" s="37"/>
      <c r="B65" s="45"/>
      <c r="C65" s="37"/>
      <c r="N65" s="50"/>
      <c r="O65" s="50"/>
      <c r="P65" s="50"/>
      <c r="Q65" s="50"/>
      <c r="R65" s="50"/>
      <c r="S65" s="51"/>
      <c r="T65" s="50"/>
      <c r="U65" s="50"/>
      <c r="V65" s="72"/>
      <c r="W65" s="50"/>
      <c r="X65" s="50"/>
      <c r="Y65" s="37"/>
      <c r="Z65" s="37"/>
      <c r="AA65" s="37"/>
      <c r="AB65" s="37"/>
      <c r="AC65" s="72"/>
      <c r="AD65" s="37"/>
      <c r="AN65" s="50"/>
      <c r="AO65" s="50"/>
      <c r="AP65" s="50"/>
      <c r="AQ65" s="50"/>
      <c r="AR65" s="50"/>
      <c r="AS65" s="51"/>
      <c r="AT65" s="50"/>
      <c r="AU65" s="50"/>
      <c r="AV65" s="72"/>
      <c r="AW65" s="50"/>
      <c r="AX65" s="50"/>
    </row>
    <row r="66" spans="1:50" x14ac:dyDescent="0.3">
      <c r="A66" s="37"/>
      <c r="B66" s="45"/>
      <c r="C66" s="37"/>
      <c r="N66" s="50"/>
      <c r="O66" s="50"/>
      <c r="P66" s="50"/>
      <c r="Q66" s="50"/>
      <c r="R66" s="50"/>
      <c r="S66" s="51"/>
      <c r="T66" s="50"/>
      <c r="U66" s="50"/>
      <c r="V66" s="72"/>
      <c r="W66" s="50"/>
      <c r="X66" s="50"/>
      <c r="Y66" s="37"/>
      <c r="Z66" s="37"/>
      <c r="AA66" s="37"/>
      <c r="AB66" s="37"/>
      <c r="AC66" s="72"/>
      <c r="AD66" s="37"/>
      <c r="AN66" s="50"/>
      <c r="AO66" s="50"/>
      <c r="AP66" s="50"/>
      <c r="AQ66" s="50"/>
      <c r="AR66" s="50"/>
      <c r="AS66" s="51"/>
      <c r="AT66" s="50"/>
      <c r="AU66" s="50"/>
      <c r="AV66" s="72"/>
      <c r="AW66" s="50"/>
      <c r="AX66" s="50"/>
    </row>
    <row r="67" spans="1:50" x14ac:dyDescent="0.3">
      <c r="A67" s="37"/>
      <c r="B67" s="46"/>
      <c r="C67" s="37"/>
      <c r="N67" s="50"/>
      <c r="O67" s="50"/>
      <c r="P67" s="50"/>
      <c r="Q67" s="50"/>
      <c r="R67" s="50"/>
      <c r="S67" s="51"/>
      <c r="T67" s="50"/>
      <c r="U67" s="50"/>
      <c r="V67" s="72"/>
      <c r="W67" s="50"/>
      <c r="X67" s="50"/>
      <c r="Y67" s="37"/>
      <c r="Z67" s="37"/>
      <c r="AA67" s="37"/>
      <c r="AB67" s="37"/>
      <c r="AC67" s="72"/>
      <c r="AD67" s="37"/>
      <c r="AN67" s="50"/>
      <c r="AO67" s="50"/>
      <c r="AP67" s="50"/>
      <c r="AQ67" s="50"/>
      <c r="AR67" s="50"/>
      <c r="AS67" s="51"/>
      <c r="AT67" s="50"/>
      <c r="AU67" s="50"/>
      <c r="AV67" s="72"/>
      <c r="AW67" s="50"/>
      <c r="AX67" s="50"/>
    </row>
    <row r="68" spans="1:50" x14ac:dyDescent="0.3">
      <c r="A68" s="37"/>
      <c r="B68" s="37"/>
      <c r="C68" s="37"/>
      <c r="N68" s="50"/>
      <c r="O68" s="50"/>
      <c r="P68" s="50"/>
      <c r="Q68" s="50"/>
      <c r="R68" s="50"/>
      <c r="S68" s="51"/>
      <c r="T68" s="50"/>
      <c r="U68" s="50"/>
      <c r="V68" s="72"/>
      <c r="W68" s="50"/>
      <c r="X68" s="50"/>
      <c r="Y68" s="37"/>
      <c r="Z68" s="37"/>
      <c r="AA68" s="37"/>
      <c r="AB68" s="37"/>
      <c r="AC68" s="72"/>
      <c r="AD68" s="37"/>
      <c r="AN68" s="50"/>
      <c r="AO68" s="50"/>
      <c r="AP68" s="50"/>
      <c r="AQ68" s="50"/>
      <c r="AR68" s="50"/>
      <c r="AS68" s="51"/>
      <c r="AT68" s="50"/>
      <c r="AU68" s="50"/>
      <c r="AV68" s="72"/>
      <c r="AW68" s="50"/>
      <c r="AX68" s="50"/>
    </row>
    <row r="69" spans="1:50" x14ac:dyDescent="0.3">
      <c r="A69" s="37"/>
      <c r="B69" s="37"/>
      <c r="C69" s="37"/>
      <c r="N69" s="50"/>
      <c r="O69" s="50"/>
      <c r="P69" s="50"/>
      <c r="Q69" s="50"/>
      <c r="R69" s="50"/>
      <c r="S69" s="51"/>
      <c r="T69" s="50"/>
      <c r="U69" s="50"/>
      <c r="V69" s="72"/>
      <c r="W69" s="50"/>
      <c r="X69" s="50"/>
      <c r="Y69" s="37"/>
      <c r="Z69" s="37"/>
      <c r="AA69" s="37"/>
      <c r="AB69" s="37"/>
      <c r="AC69" s="72"/>
      <c r="AD69" s="37"/>
      <c r="AN69" s="50"/>
      <c r="AO69" s="50"/>
      <c r="AP69" s="50"/>
      <c r="AQ69" s="50"/>
      <c r="AR69" s="50"/>
      <c r="AS69" s="51"/>
      <c r="AT69" s="50"/>
      <c r="AU69" s="50"/>
      <c r="AV69" s="72"/>
      <c r="AW69" s="50"/>
      <c r="AX69" s="50"/>
    </row>
    <row r="70" spans="1:50" x14ac:dyDescent="0.3">
      <c r="A70" s="37"/>
      <c r="B70" s="45"/>
      <c r="C70" s="37"/>
      <c r="N70" s="50"/>
      <c r="O70" s="50"/>
      <c r="P70" s="50"/>
      <c r="Q70" s="50"/>
      <c r="R70" s="50"/>
      <c r="S70" s="51"/>
      <c r="T70" s="50"/>
      <c r="U70" s="50"/>
      <c r="V70" s="72"/>
      <c r="W70" s="50"/>
      <c r="X70" s="50"/>
      <c r="Y70" s="37"/>
      <c r="Z70" s="37"/>
      <c r="AA70" s="37"/>
      <c r="AB70" s="37"/>
      <c r="AC70" s="72"/>
      <c r="AD70" s="37"/>
      <c r="AN70" s="50"/>
      <c r="AO70" s="50"/>
      <c r="AP70" s="50"/>
      <c r="AQ70" s="50"/>
      <c r="AR70" s="50"/>
      <c r="AS70" s="51"/>
      <c r="AT70" s="50"/>
      <c r="AU70" s="50"/>
      <c r="AV70" s="72"/>
      <c r="AW70" s="50"/>
      <c r="AX70" s="50"/>
    </row>
    <row r="71" spans="1:50" x14ac:dyDescent="0.3">
      <c r="A71" s="37"/>
      <c r="B71" s="45"/>
      <c r="C71" s="37"/>
      <c r="N71" s="50"/>
      <c r="O71" s="50"/>
      <c r="P71" s="50"/>
      <c r="Q71" s="50"/>
      <c r="R71" s="50"/>
      <c r="S71" s="51"/>
      <c r="T71" s="50"/>
      <c r="U71" s="50"/>
      <c r="V71" s="72"/>
      <c r="W71" s="50"/>
      <c r="X71" s="50"/>
      <c r="Y71" s="37"/>
      <c r="Z71" s="37"/>
      <c r="AA71" s="37"/>
      <c r="AB71" s="37"/>
      <c r="AC71" s="72"/>
      <c r="AD71" s="37"/>
      <c r="AN71" s="50"/>
      <c r="AO71" s="50"/>
      <c r="AP71" s="50"/>
      <c r="AQ71" s="50"/>
      <c r="AR71" s="50"/>
      <c r="AS71" s="51"/>
      <c r="AT71" s="50"/>
      <c r="AU71" s="50"/>
      <c r="AV71" s="72"/>
      <c r="AW71" s="50"/>
      <c r="AX71" s="50"/>
    </row>
    <row r="72" spans="1:50" x14ac:dyDescent="0.3">
      <c r="A72" s="37"/>
      <c r="B72" s="45"/>
      <c r="C72" s="37"/>
      <c r="N72" s="50"/>
      <c r="O72" s="50"/>
      <c r="P72" s="50"/>
      <c r="Q72" s="50"/>
      <c r="R72" s="50"/>
      <c r="S72" s="51"/>
      <c r="T72" s="50"/>
      <c r="U72" s="50"/>
      <c r="V72" s="72"/>
      <c r="W72" s="50"/>
      <c r="X72" s="50"/>
      <c r="Y72" s="37"/>
      <c r="Z72" s="37"/>
      <c r="AA72" s="37"/>
      <c r="AB72" s="37"/>
      <c r="AC72" s="72"/>
      <c r="AD72" s="37"/>
      <c r="AN72" s="50"/>
      <c r="AO72" s="50"/>
      <c r="AP72" s="50"/>
      <c r="AQ72" s="50"/>
      <c r="AR72" s="50"/>
      <c r="AS72" s="51"/>
      <c r="AT72" s="50"/>
      <c r="AU72" s="50"/>
      <c r="AV72" s="72"/>
      <c r="AW72" s="50"/>
      <c r="AX72" s="50"/>
    </row>
    <row r="73" spans="1:50" x14ac:dyDescent="0.3">
      <c r="A73" s="37"/>
      <c r="B73" s="46"/>
      <c r="C73" s="37"/>
      <c r="N73" s="50"/>
      <c r="O73" s="50"/>
      <c r="P73" s="50"/>
      <c r="Q73" s="50"/>
      <c r="R73" s="50"/>
      <c r="S73" s="51"/>
      <c r="T73" s="50"/>
      <c r="U73" s="50"/>
      <c r="V73" s="72"/>
      <c r="W73" s="50"/>
      <c r="X73" s="50"/>
      <c r="Y73" s="37"/>
      <c r="Z73" s="37"/>
      <c r="AA73" s="37"/>
      <c r="AB73" s="37"/>
      <c r="AC73" s="72"/>
      <c r="AD73" s="37"/>
      <c r="AN73" s="50"/>
      <c r="AO73" s="50"/>
      <c r="AP73" s="50"/>
      <c r="AQ73" s="50"/>
      <c r="AR73" s="50"/>
      <c r="AS73" s="51"/>
      <c r="AT73" s="50"/>
      <c r="AU73" s="50"/>
      <c r="AV73" s="72"/>
      <c r="AW73" s="50"/>
      <c r="AX73" s="50"/>
    </row>
    <row r="74" spans="1:50" x14ac:dyDescent="0.3">
      <c r="A74" s="37"/>
      <c r="B74" s="37"/>
      <c r="C74" s="37"/>
      <c r="N74" s="50"/>
      <c r="O74" s="50"/>
      <c r="P74" s="50"/>
      <c r="Q74" s="50"/>
      <c r="R74" s="50"/>
      <c r="S74" s="51"/>
      <c r="T74" s="50"/>
      <c r="U74" s="50"/>
      <c r="V74" s="72"/>
      <c r="W74" s="50"/>
      <c r="X74" s="50"/>
      <c r="Y74" s="37"/>
      <c r="Z74" s="37"/>
      <c r="AA74" s="37"/>
      <c r="AB74" s="37"/>
      <c r="AC74" s="72"/>
      <c r="AD74" s="37"/>
      <c r="AN74" s="50"/>
      <c r="AO74" s="50"/>
      <c r="AP74" s="50"/>
      <c r="AQ74" s="50"/>
      <c r="AR74" s="50"/>
      <c r="AS74" s="51"/>
      <c r="AT74" s="50"/>
      <c r="AU74" s="50"/>
      <c r="AV74" s="72"/>
      <c r="AW74" s="50"/>
      <c r="AX74" s="50"/>
    </row>
    <row r="75" spans="1:50" x14ac:dyDescent="0.3">
      <c r="A75" s="37"/>
      <c r="B75" s="46"/>
      <c r="N75" s="50"/>
      <c r="O75" s="50"/>
      <c r="P75" s="50"/>
      <c r="Q75" s="50"/>
      <c r="R75" s="50"/>
      <c r="S75" s="51"/>
      <c r="T75" s="50"/>
      <c r="U75" s="50"/>
      <c r="V75" s="72"/>
      <c r="W75" s="50"/>
      <c r="X75" s="50"/>
      <c r="Y75" s="37"/>
      <c r="Z75" s="37"/>
      <c r="AA75" s="37"/>
      <c r="AB75" s="37"/>
      <c r="AC75" s="72"/>
      <c r="AD75" s="37"/>
      <c r="AN75" s="50"/>
      <c r="AO75" s="50"/>
      <c r="AP75" s="50"/>
      <c r="AQ75" s="50"/>
      <c r="AR75" s="50"/>
      <c r="AS75" s="51"/>
      <c r="AT75" s="50"/>
      <c r="AU75" s="50"/>
      <c r="AV75" s="72"/>
      <c r="AW75" s="50"/>
      <c r="AX75" s="50"/>
    </row>
    <row r="76" spans="1:50" x14ac:dyDescent="0.3">
      <c r="N76" s="50"/>
      <c r="O76" s="50"/>
      <c r="P76" s="50"/>
      <c r="Q76" s="50"/>
      <c r="R76" s="50"/>
      <c r="S76" s="51"/>
      <c r="T76" s="50"/>
      <c r="U76" s="50"/>
      <c r="V76" s="72"/>
      <c r="W76" s="50"/>
      <c r="X76" s="50"/>
      <c r="Y76" s="37"/>
      <c r="Z76" s="37"/>
      <c r="AA76" s="37"/>
      <c r="AB76" s="37"/>
      <c r="AC76" s="72"/>
      <c r="AD76" s="37"/>
      <c r="AN76" s="50"/>
      <c r="AO76" s="50"/>
      <c r="AP76" s="50"/>
      <c r="AQ76" s="50"/>
      <c r="AR76" s="50"/>
      <c r="AS76" s="51"/>
      <c r="AT76" s="50"/>
      <c r="AU76" s="50"/>
      <c r="AV76" s="72"/>
      <c r="AW76" s="50"/>
      <c r="AX76" s="50"/>
    </row>
    <row r="77" spans="1:50" x14ac:dyDescent="0.3">
      <c r="N77" s="50"/>
      <c r="O77" s="50"/>
      <c r="P77" s="50"/>
      <c r="Q77" s="50"/>
      <c r="R77" s="50"/>
      <c r="S77" s="51"/>
      <c r="T77" s="50"/>
      <c r="U77" s="50"/>
      <c r="V77" s="72"/>
      <c r="W77" s="50"/>
      <c r="X77" s="50"/>
      <c r="Y77" s="37"/>
      <c r="Z77" s="37"/>
      <c r="AA77" s="37"/>
      <c r="AB77" s="37"/>
      <c r="AC77" s="72"/>
      <c r="AD77" s="37"/>
      <c r="AN77" s="50"/>
      <c r="AO77" s="50"/>
      <c r="AP77" s="50"/>
      <c r="AQ77" s="50"/>
      <c r="AR77" s="50"/>
      <c r="AS77" s="51"/>
      <c r="AT77" s="50"/>
      <c r="AU77" s="50"/>
      <c r="AV77" s="72"/>
      <c r="AW77" s="50"/>
      <c r="AX77" s="50"/>
    </row>
    <row r="78" spans="1:50" x14ac:dyDescent="0.3">
      <c r="N78" s="50"/>
      <c r="O78" s="50"/>
      <c r="P78" s="50"/>
      <c r="Q78" s="50"/>
      <c r="R78" s="50"/>
      <c r="S78" s="51"/>
      <c r="T78" s="50"/>
      <c r="U78" s="50"/>
      <c r="V78" s="72"/>
      <c r="W78" s="50"/>
      <c r="X78" s="50"/>
      <c r="Y78" s="37"/>
      <c r="Z78" s="37"/>
      <c r="AA78" s="37"/>
      <c r="AB78" s="37"/>
      <c r="AC78" s="72"/>
      <c r="AD78" s="37"/>
      <c r="AN78" s="50"/>
      <c r="AO78" s="50"/>
      <c r="AP78" s="50"/>
      <c r="AQ78" s="50"/>
      <c r="AR78" s="50"/>
      <c r="AS78" s="51"/>
      <c r="AT78" s="50"/>
      <c r="AU78" s="50"/>
      <c r="AV78" s="72"/>
      <c r="AW78" s="50"/>
      <c r="AX78" s="50"/>
    </row>
    <row r="79" spans="1:50" x14ac:dyDescent="0.3">
      <c r="N79" s="50"/>
      <c r="O79" s="50"/>
      <c r="P79" s="50"/>
      <c r="Q79" s="50"/>
      <c r="R79" s="50"/>
      <c r="S79" s="51"/>
      <c r="T79" s="50"/>
      <c r="U79" s="50"/>
      <c r="V79" s="72"/>
      <c r="W79" s="50"/>
      <c r="X79" s="50"/>
      <c r="Y79" s="37"/>
      <c r="Z79" s="37"/>
      <c r="AA79" s="37"/>
      <c r="AB79" s="37"/>
      <c r="AC79" s="72"/>
      <c r="AD79" s="37"/>
      <c r="AN79" s="50"/>
      <c r="AO79" s="50"/>
      <c r="AP79" s="50"/>
      <c r="AQ79" s="50"/>
      <c r="AR79" s="50"/>
      <c r="AS79" s="51"/>
      <c r="AT79" s="50"/>
      <c r="AU79" s="50"/>
      <c r="AV79" s="72"/>
      <c r="AW79" s="50"/>
      <c r="AX79" s="50"/>
    </row>
    <row r="80" spans="1:50" x14ac:dyDescent="0.3">
      <c r="N80" s="50"/>
      <c r="O80" s="50"/>
      <c r="P80" s="50"/>
      <c r="Q80" s="50"/>
      <c r="R80" s="50"/>
      <c r="S80" s="51"/>
      <c r="T80" s="50"/>
      <c r="U80" s="50"/>
      <c r="V80" s="72"/>
      <c r="W80" s="50"/>
      <c r="X80" s="50"/>
      <c r="Y80" s="37"/>
      <c r="Z80" s="37"/>
      <c r="AA80" s="37"/>
      <c r="AB80" s="37"/>
      <c r="AC80" s="72"/>
      <c r="AD80" s="37"/>
      <c r="AN80" s="50"/>
      <c r="AO80" s="50"/>
      <c r="AP80" s="50"/>
      <c r="AQ80" s="50"/>
      <c r="AR80" s="50"/>
      <c r="AS80" s="51"/>
      <c r="AT80" s="50"/>
      <c r="AU80" s="50"/>
      <c r="AV80" s="72"/>
      <c r="AW80" s="50"/>
      <c r="AX80" s="50"/>
    </row>
    <row r="81" spans="14:50" x14ac:dyDescent="0.3">
      <c r="N81" s="50"/>
      <c r="O81" s="50"/>
      <c r="P81" s="50"/>
      <c r="Q81" s="50"/>
      <c r="R81" s="50"/>
      <c r="S81" s="51"/>
      <c r="T81" s="50"/>
      <c r="U81" s="50"/>
      <c r="V81" s="72"/>
      <c r="W81" s="50"/>
      <c r="X81" s="50"/>
      <c r="Y81" s="37"/>
      <c r="Z81" s="37"/>
      <c r="AA81" s="37"/>
      <c r="AB81" s="37"/>
      <c r="AC81" s="72"/>
      <c r="AD81" s="37"/>
      <c r="AN81" s="50"/>
      <c r="AO81" s="50"/>
      <c r="AP81" s="50"/>
      <c r="AQ81" s="50"/>
      <c r="AR81" s="50"/>
      <c r="AS81" s="51"/>
      <c r="AT81" s="50"/>
      <c r="AU81" s="50"/>
      <c r="AV81" s="72"/>
      <c r="AW81" s="50"/>
      <c r="AX81" s="50"/>
    </row>
    <row r="82" spans="14:50" x14ac:dyDescent="0.3">
      <c r="N82" s="50"/>
      <c r="O82" s="50"/>
      <c r="P82" s="50"/>
      <c r="Q82" s="50"/>
      <c r="R82" s="50"/>
      <c r="S82" s="51"/>
      <c r="T82" s="50"/>
      <c r="U82" s="50"/>
      <c r="V82" s="72"/>
      <c r="W82" s="50"/>
      <c r="X82" s="50"/>
      <c r="Y82" s="37"/>
      <c r="Z82" s="37"/>
      <c r="AA82" s="37"/>
      <c r="AB82" s="37"/>
      <c r="AC82" s="72"/>
      <c r="AD82" s="37"/>
      <c r="AN82" s="50"/>
      <c r="AO82" s="50"/>
      <c r="AP82" s="50"/>
      <c r="AQ82" s="50"/>
      <c r="AR82" s="50"/>
      <c r="AS82" s="51"/>
      <c r="AT82" s="50"/>
      <c r="AU82" s="50"/>
      <c r="AV82" s="72"/>
      <c r="AW82" s="50"/>
      <c r="AX82" s="50"/>
    </row>
    <row r="83" spans="14:50" x14ac:dyDescent="0.3">
      <c r="N83" s="50"/>
      <c r="O83" s="50"/>
      <c r="P83" s="50"/>
      <c r="Q83" s="50"/>
      <c r="R83" s="50"/>
      <c r="S83" s="51"/>
      <c r="T83" s="50"/>
      <c r="U83" s="50"/>
      <c r="V83" s="72"/>
      <c r="W83" s="50"/>
      <c r="X83" s="50"/>
      <c r="Y83" s="37"/>
      <c r="Z83" s="37"/>
      <c r="AA83" s="37"/>
      <c r="AB83" s="37"/>
      <c r="AC83" s="72"/>
      <c r="AD83" s="37"/>
      <c r="AN83" s="50"/>
      <c r="AO83" s="50"/>
      <c r="AP83" s="50"/>
      <c r="AQ83" s="50"/>
      <c r="AR83" s="50"/>
      <c r="AS83" s="51"/>
      <c r="AT83" s="50"/>
      <c r="AU83" s="50"/>
      <c r="AV83" s="72"/>
      <c r="AW83" s="50"/>
      <c r="AX83" s="50"/>
    </row>
    <row r="84" spans="14:50" x14ac:dyDescent="0.3">
      <c r="N84" s="50"/>
      <c r="O84" s="50"/>
      <c r="P84" s="50"/>
      <c r="Q84" s="50"/>
      <c r="R84" s="50"/>
      <c r="S84" s="51"/>
      <c r="T84" s="50"/>
      <c r="U84" s="50"/>
      <c r="V84" s="72"/>
      <c r="W84" s="50"/>
      <c r="X84" s="50"/>
      <c r="Y84" s="37"/>
      <c r="Z84" s="37"/>
      <c r="AA84" s="37"/>
      <c r="AB84" s="37"/>
      <c r="AC84" s="72"/>
      <c r="AD84" s="37"/>
      <c r="AN84" s="50"/>
      <c r="AO84" s="50"/>
      <c r="AP84" s="50"/>
      <c r="AQ84" s="50"/>
      <c r="AR84" s="50"/>
      <c r="AS84" s="51"/>
      <c r="AT84" s="50"/>
      <c r="AU84" s="50"/>
      <c r="AV84" s="72"/>
      <c r="AW84" s="50"/>
      <c r="AX84" s="50"/>
    </row>
    <row r="85" spans="14:50" x14ac:dyDescent="0.3">
      <c r="N85" s="50"/>
      <c r="O85" s="50"/>
      <c r="P85" s="50"/>
      <c r="Q85" s="50"/>
      <c r="R85" s="50"/>
      <c r="S85" s="51"/>
      <c r="T85" s="50"/>
      <c r="U85" s="50"/>
      <c r="V85" s="72"/>
      <c r="W85" s="50"/>
      <c r="X85" s="50"/>
      <c r="Y85" s="37"/>
      <c r="Z85" s="37"/>
      <c r="AA85" s="37"/>
      <c r="AB85" s="37"/>
      <c r="AC85" s="72"/>
      <c r="AD85" s="37"/>
      <c r="AN85" s="50"/>
      <c r="AO85" s="50"/>
      <c r="AP85" s="50"/>
      <c r="AQ85" s="50"/>
      <c r="AR85" s="50"/>
      <c r="AS85" s="51"/>
      <c r="AT85" s="50"/>
      <c r="AU85" s="50"/>
      <c r="AV85" s="72"/>
      <c r="AW85" s="50"/>
      <c r="AX85" s="50"/>
    </row>
    <row r="86" spans="14:50" x14ac:dyDescent="0.3">
      <c r="N86" s="50"/>
      <c r="O86" s="50"/>
      <c r="P86" s="50"/>
      <c r="Q86" s="50"/>
      <c r="R86" s="50"/>
      <c r="S86" s="51"/>
      <c r="T86" s="50"/>
      <c r="U86" s="50"/>
      <c r="V86" s="72"/>
      <c r="W86" s="50"/>
      <c r="X86" s="50"/>
      <c r="Y86" s="37"/>
      <c r="Z86" s="37"/>
      <c r="AA86" s="37"/>
      <c r="AB86" s="37"/>
      <c r="AC86" s="72"/>
      <c r="AD86" s="37"/>
      <c r="AN86" s="50"/>
      <c r="AO86" s="50"/>
      <c r="AP86" s="50"/>
      <c r="AQ86" s="50"/>
      <c r="AR86" s="50"/>
      <c r="AS86" s="51"/>
      <c r="AT86" s="50"/>
      <c r="AU86" s="50"/>
      <c r="AV86" s="72"/>
      <c r="AW86" s="50"/>
      <c r="AX86" s="50"/>
    </row>
    <row r="87" spans="14:50" x14ac:dyDescent="0.3">
      <c r="N87" s="50"/>
      <c r="O87" s="50"/>
      <c r="P87" s="50"/>
      <c r="Q87" s="50"/>
      <c r="R87" s="50"/>
      <c r="S87" s="51"/>
      <c r="T87" s="50"/>
      <c r="U87" s="50"/>
      <c r="V87" s="72"/>
      <c r="W87" s="50"/>
      <c r="X87" s="50"/>
      <c r="Y87" s="37"/>
      <c r="Z87" s="37"/>
      <c r="AA87" s="37"/>
      <c r="AB87" s="37"/>
      <c r="AC87" s="72"/>
      <c r="AD87" s="37"/>
      <c r="AN87" s="50"/>
      <c r="AO87" s="50"/>
      <c r="AP87" s="50"/>
      <c r="AQ87" s="50"/>
      <c r="AR87" s="50"/>
      <c r="AS87" s="51"/>
      <c r="AT87" s="50"/>
      <c r="AU87" s="50"/>
      <c r="AV87" s="72"/>
      <c r="AW87" s="50"/>
      <c r="AX87" s="50"/>
    </row>
    <row r="88" spans="14:50" x14ac:dyDescent="0.3">
      <c r="N88" s="50"/>
      <c r="O88" s="50"/>
      <c r="P88" s="50"/>
      <c r="Q88" s="50"/>
      <c r="R88" s="50"/>
      <c r="S88" s="51"/>
      <c r="T88" s="50"/>
      <c r="U88" s="50"/>
      <c r="V88" s="72"/>
      <c r="W88" s="50"/>
      <c r="X88" s="50"/>
      <c r="Y88" s="37"/>
      <c r="Z88" s="37"/>
      <c r="AA88" s="37"/>
      <c r="AB88" s="37"/>
      <c r="AC88" s="72"/>
      <c r="AD88" s="37"/>
      <c r="AN88" s="50"/>
      <c r="AO88" s="50"/>
      <c r="AP88" s="50"/>
      <c r="AQ88" s="50"/>
      <c r="AR88" s="50"/>
      <c r="AS88" s="51"/>
      <c r="AT88" s="50"/>
      <c r="AU88" s="50"/>
      <c r="AV88" s="72"/>
      <c r="AW88" s="50"/>
      <c r="AX88" s="50"/>
    </row>
    <row r="89" spans="14:50" x14ac:dyDescent="0.3">
      <c r="N89" s="50"/>
      <c r="O89" s="50"/>
      <c r="P89" s="50"/>
      <c r="Q89" s="50"/>
      <c r="R89" s="50"/>
      <c r="S89" s="51"/>
      <c r="T89" s="50"/>
      <c r="U89" s="50"/>
      <c r="V89" s="72"/>
      <c r="W89" s="50"/>
      <c r="X89" s="50"/>
      <c r="Y89" s="37"/>
      <c r="Z89" s="37"/>
      <c r="AA89" s="37"/>
      <c r="AB89" s="37"/>
      <c r="AC89" s="72"/>
      <c r="AD89" s="37"/>
      <c r="AN89" s="50"/>
      <c r="AO89" s="50"/>
      <c r="AP89" s="50"/>
      <c r="AQ89" s="50"/>
      <c r="AR89" s="50"/>
      <c r="AS89" s="51"/>
      <c r="AT89" s="50"/>
      <c r="AU89" s="50"/>
      <c r="AV89" s="72"/>
      <c r="AW89" s="50"/>
      <c r="AX89" s="50"/>
    </row>
    <row r="90" spans="14:50" x14ac:dyDescent="0.3">
      <c r="N90" s="50"/>
      <c r="O90" s="50"/>
      <c r="P90" s="50"/>
      <c r="Q90" s="50"/>
      <c r="R90" s="50"/>
      <c r="S90" s="51"/>
      <c r="T90" s="50"/>
      <c r="U90" s="50"/>
      <c r="V90" s="72"/>
      <c r="W90" s="50"/>
      <c r="X90" s="50"/>
      <c r="Y90" s="37"/>
      <c r="Z90" s="37"/>
      <c r="AA90" s="37"/>
      <c r="AB90" s="37"/>
      <c r="AC90" s="72"/>
      <c r="AD90" s="37"/>
      <c r="AN90" s="50"/>
      <c r="AO90" s="50"/>
      <c r="AP90" s="50"/>
      <c r="AQ90" s="50"/>
      <c r="AR90" s="50"/>
      <c r="AS90" s="51"/>
      <c r="AT90" s="50"/>
      <c r="AU90" s="50"/>
      <c r="AV90" s="72"/>
      <c r="AW90" s="50"/>
      <c r="AX90" s="50"/>
    </row>
    <row r="91" spans="14:50" x14ac:dyDescent="0.3">
      <c r="N91" s="50"/>
      <c r="O91" s="50"/>
      <c r="P91" s="50"/>
      <c r="Q91" s="50"/>
      <c r="R91" s="50"/>
      <c r="S91" s="51"/>
      <c r="T91" s="50"/>
      <c r="U91" s="50"/>
      <c r="V91" s="72"/>
      <c r="W91" s="50"/>
      <c r="X91" s="50"/>
      <c r="Y91" s="37"/>
      <c r="Z91" s="37"/>
      <c r="AA91" s="37"/>
      <c r="AB91" s="37"/>
      <c r="AC91" s="72"/>
      <c r="AD91" s="37"/>
      <c r="AN91" s="50"/>
      <c r="AO91" s="50"/>
      <c r="AP91" s="50"/>
      <c r="AQ91" s="50"/>
      <c r="AR91" s="50"/>
      <c r="AS91" s="51"/>
      <c r="AT91" s="50"/>
      <c r="AU91" s="50"/>
      <c r="AV91" s="72"/>
      <c r="AW91" s="50"/>
      <c r="AX91" s="50"/>
    </row>
    <row r="92" spans="14:50" x14ac:dyDescent="0.3">
      <c r="N92" s="50"/>
      <c r="O92" s="50"/>
      <c r="P92" s="50"/>
      <c r="Q92" s="50"/>
      <c r="R92" s="50"/>
      <c r="S92" s="51"/>
      <c r="T92" s="50"/>
      <c r="U92" s="50"/>
      <c r="V92" s="72"/>
      <c r="W92" s="50"/>
      <c r="X92" s="50"/>
      <c r="Y92" s="37"/>
      <c r="Z92" s="37"/>
      <c r="AA92" s="37"/>
      <c r="AB92" s="37"/>
      <c r="AC92" s="72"/>
      <c r="AD92" s="37"/>
      <c r="AN92" s="50"/>
      <c r="AO92" s="50"/>
      <c r="AP92" s="50"/>
      <c r="AQ92" s="50"/>
      <c r="AR92" s="50"/>
      <c r="AS92" s="51"/>
      <c r="AT92" s="50"/>
      <c r="AU92" s="50"/>
      <c r="AV92" s="72"/>
      <c r="AW92" s="50"/>
      <c r="AX92" s="50"/>
    </row>
    <row r="93" spans="14:50" x14ac:dyDescent="0.3">
      <c r="N93" s="50"/>
      <c r="O93" s="50"/>
      <c r="P93" s="50"/>
      <c r="Q93" s="50"/>
      <c r="R93" s="50"/>
      <c r="S93" s="51"/>
      <c r="T93" s="50"/>
      <c r="U93" s="50"/>
      <c r="V93" s="72"/>
      <c r="W93" s="50"/>
      <c r="X93" s="50"/>
      <c r="Y93" s="37"/>
      <c r="Z93" s="37"/>
      <c r="AA93" s="37"/>
      <c r="AB93" s="37"/>
      <c r="AC93" s="72"/>
      <c r="AD93" s="37"/>
      <c r="AN93" s="50"/>
      <c r="AO93" s="50"/>
      <c r="AP93" s="50"/>
      <c r="AQ93" s="50"/>
      <c r="AR93" s="50"/>
      <c r="AS93" s="51"/>
      <c r="AT93" s="50"/>
      <c r="AU93" s="50"/>
      <c r="AV93" s="72"/>
      <c r="AW93" s="50"/>
      <c r="AX93" s="50"/>
    </row>
    <row r="94" spans="14:50" x14ac:dyDescent="0.3">
      <c r="N94" s="50"/>
      <c r="O94" s="50"/>
      <c r="P94" s="50"/>
      <c r="Q94" s="50"/>
      <c r="R94" s="50"/>
      <c r="S94" s="51"/>
      <c r="T94" s="50"/>
      <c r="U94" s="50"/>
      <c r="V94" s="72"/>
      <c r="W94" s="50"/>
      <c r="X94" s="50"/>
      <c r="Y94" s="37"/>
      <c r="Z94" s="37"/>
      <c r="AA94" s="37"/>
      <c r="AB94" s="37"/>
      <c r="AC94" s="72"/>
      <c r="AD94" s="37"/>
      <c r="AN94" s="50"/>
      <c r="AO94" s="50"/>
      <c r="AP94" s="50"/>
      <c r="AQ94" s="50"/>
      <c r="AR94" s="50"/>
      <c r="AS94" s="51"/>
      <c r="AT94" s="50"/>
      <c r="AU94" s="50"/>
      <c r="AV94" s="72"/>
      <c r="AW94" s="50"/>
      <c r="AX94" s="50"/>
    </row>
    <row r="95" spans="14:50" x14ac:dyDescent="0.3">
      <c r="N95" s="50"/>
      <c r="O95" s="50"/>
      <c r="P95" s="50"/>
      <c r="Q95" s="50"/>
      <c r="R95" s="50"/>
      <c r="S95" s="51"/>
      <c r="T95" s="50"/>
      <c r="U95" s="50"/>
      <c r="V95" s="72"/>
      <c r="W95" s="50"/>
      <c r="X95" s="50"/>
      <c r="Y95" s="37"/>
      <c r="Z95" s="37"/>
      <c r="AA95" s="37"/>
      <c r="AB95" s="37"/>
      <c r="AC95" s="72"/>
      <c r="AD95" s="37"/>
      <c r="AN95" s="50"/>
      <c r="AO95" s="50"/>
      <c r="AP95" s="50"/>
      <c r="AQ95" s="50"/>
      <c r="AR95" s="50"/>
      <c r="AS95" s="51"/>
      <c r="AT95" s="50"/>
      <c r="AU95" s="50"/>
      <c r="AV95" s="72"/>
      <c r="AW95" s="50"/>
      <c r="AX95" s="50"/>
    </row>
    <row r="96" spans="14:50" x14ac:dyDescent="0.3">
      <c r="N96" s="50"/>
      <c r="O96" s="50"/>
      <c r="P96" s="50"/>
      <c r="Q96" s="50"/>
      <c r="R96" s="50"/>
      <c r="S96" s="51"/>
      <c r="T96" s="50"/>
      <c r="U96" s="50"/>
      <c r="V96" s="72"/>
      <c r="W96" s="50"/>
      <c r="X96" s="50"/>
      <c r="Y96" s="37"/>
      <c r="Z96" s="37"/>
      <c r="AA96" s="37"/>
      <c r="AB96" s="37"/>
      <c r="AC96" s="72"/>
      <c r="AD96" s="37"/>
      <c r="AN96" s="50"/>
      <c r="AO96" s="50"/>
      <c r="AP96" s="50"/>
      <c r="AQ96" s="50"/>
      <c r="AR96" s="50"/>
      <c r="AS96" s="51"/>
      <c r="AT96" s="50"/>
      <c r="AU96" s="50"/>
      <c r="AV96" s="72"/>
      <c r="AW96" s="50"/>
      <c r="AX96" s="50"/>
    </row>
    <row r="97" spans="14:50" x14ac:dyDescent="0.3">
      <c r="N97" s="50"/>
      <c r="O97" s="50"/>
      <c r="P97" s="50"/>
      <c r="Q97" s="50"/>
      <c r="R97" s="50"/>
      <c r="S97" s="51"/>
      <c r="T97" s="50"/>
      <c r="U97" s="50"/>
      <c r="V97" s="72"/>
      <c r="W97" s="50"/>
      <c r="X97" s="50"/>
      <c r="Y97" s="37"/>
      <c r="Z97" s="37"/>
      <c r="AA97" s="37"/>
      <c r="AB97" s="37"/>
      <c r="AC97" s="72"/>
      <c r="AD97" s="37"/>
      <c r="AN97" s="50"/>
      <c r="AO97" s="50"/>
      <c r="AP97" s="50"/>
      <c r="AQ97" s="50"/>
      <c r="AR97" s="50"/>
      <c r="AS97" s="51"/>
      <c r="AT97" s="50"/>
      <c r="AU97" s="50"/>
      <c r="AV97" s="72"/>
      <c r="AW97" s="50"/>
      <c r="AX97" s="50"/>
    </row>
    <row r="98" spans="14:50" x14ac:dyDescent="0.3">
      <c r="N98" s="50"/>
      <c r="O98" s="50"/>
      <c r="P98" s="50"/>
      <c r="Q98" s="50"/>
      <c r="R98" s="50"/>
      <c r="S98" s="51"/>
      <c r="T98" s="50"/>
      <c r="U98" s="50"/>
      <c r="V98" s="72"/>
      <c r="W98" s="50"/>
      <c r="X98" s="50"/>
      <c r="Y98" s="37"/>
      <c r="Z98" s="37"/>
      <c r="AA98" s="37"/>
      <c r="AB98" s="37"/>
      <c r="AC98" s="72"/>
      <c r="AD98" s="37"/>
      <c r="AN98" s="50"/>
      <c r="AO98" s="50"/>
      <c r="AP98" s="50"/>
      <c r="AQ98" s="50"/>
      <c r="AR98" s="50"/>
      <c r="AS98" s="51"/>
      <c r="AT98" s="50"/>
      <c r="AU98" s="50"/>
      <c r="AV98" s="72"/>
      <c r="AW98" s="50"/>
      <c r="AX98" s="50"/>
    </row>
    <row r="99" spans="14:50" x14ac:dyDescent="0.3">
      <c r="N99" s="50"/>
      <c r="O99" s="50"/>
      <c r="P99" s="50"/>
      <c r="Q99" s="50"/>
      <c r="R99" s="50"/>
      <c r="S99" s="51"/>
      <c r="T99" s="50"/>
      <c r="U99" s="50"/>
      <c r="V99" s="72"/>
      <c r="W99" s="50"/>
      <c r="X99" s="50"/>
      <c r="Y99" s="37"/>
      <c r="Z99" s="37"/>
      <c r="AA99" s="37"/>
      <c r="AB99" s="37"/>
      <c r="AC99" s="72"/>
      <c r="AD99" s="37"/>
      <c r="AN99" s="50"/>
      <c r="AO99" s="50"/>
      <c r="AP99" s="50"/>
      <c r="AQ99" s="50"/>
      <c r="AR99" s="50"/>
      <c r="AS99" s="51"/>
      <c r="AT99" s="50"/>
      <c r="AU99" s="50"/>
      <c r="AV99" s="72"/>
      <c r="AW99" s="50"/>
      <c r="AX99" s="50"/>
    </row>
    <row r="100" spans="14:50" x14ac:dyDescent="0.3">
      <c r="N100" s="50"/>
      <c r="O100" s="50"/>
      <c r="P100" s="50"/>
      <c r="Q100" s="50"/>
      <c r="R100" s="50"/>
      <c r="S100" s="51"/>
      <c r="T100" s="50"/>
      <c r="U100" s="50"/>
      <c r="V100" s="72"/>
      <c r="W100" s="50"/>
      <c r="X100" s="50"/>
      <c r="Y100" s="37"/>
      <c r="Z100" s="37"/>
      <c r="AA100" s="37"/>
      <c r="AB100" s="37"/>
      <c r="AC100" s="72"/>
      <c r="AD100" s="37"/>
      <c r="AN100" s="50"/>
      <c r="AO100" s="50"/>
      <c r="AP100" s="50"/>
      <c r="AQ100" s="50"/>
      <c r="AR100" s="50"/>
      <c r="AS100" s="51"/>
      <c r="AT100" s="50"/>
      <c r="AU100" s="50"/>
      <c r="AV100" s="72"/>
      <c r="AW100" s="50"/>
      <c r="AX100" s="50"/>
    </row>
    <row r="101" spans="14:50" x14ac:dyDescent="0.3">
      <c r="N101" s="50"/>
      <c r="O101" s="50"/>
      <c r="P101" s="50"/>
      <c r="Q101" s="50"/>
      <c r="R101" s="50"/>
      <c r="S101" s="51"/>
      <c r="T101" s="50"/>
      <c r="U101" s="50"/>
      <c r="V101" s="72"/>
      <c r="W101" s="50"/>
      <c r="X101" s="50"/>
      <c r="Y101" s="37"/>
      <c r="Z101" s="37"/>
      <c r="AA101" s="37"/>
      <c r="AB101" s="37"/>
      <c r="AC101" s="72"/>
      <c r="AD101" s="37"/>
      <c r="AN101" s="50"/>
      <c r="AO101" s="50"/>
      <c r="AP101" s="50"/>
      <c r="AQ101" s="50"/>
      <c r="AR101" s="50"/>
      <c r="AS101" s="51"/>
      <c r="AT101" s="50"/>
      <c r="AU101" s="50"/>
      <c r="AV101" s="72"/>
      <c r="AW101" s="50"/>
      <c r="AX101" s="50"/>
    </row>
    <row r="102" spans="14:50" x14ac:dyDescent="0.3">
      <c r="N102" s="50"/>
      <c r="O102" s="50"/>
      <c r="P102" s="50"/>
      <c r="Q102" s="50"/>
      <c r="R102" s="50"/>
      <c r="S102" s="51"/>
      <c r="T102" s="50"/>
      <c r="U102" s="50"/>
      <c r="V102" s="72"/>
      <c r="W102" s="50"/>
      <c r="X102" s="50"/>
      <c r="Y102" s="37"/>
      <c r="Z102" s="37"/>
      <c r="AA102" s="37"/>
      <c r="AB102" s="37"/>
      <c r="AC102" s="72"/>
      <c r="AD102" s="37"/>
      <c r="AN102" s="50"/>
      <c r="AO102" s="50"/>
      <c r="AP102" s="50"/>
      <c r="AQ102" s="50"/>
      <c r="AR102" s="50"/>
      <c r="AS102" s="51"/>
      <c r="AT102" s="50"/>
      <c r="AU102" s="50"/>
      <c r="AV102" s="72"/>
      <c r="AW102" s="50"/>
      <c r="AX102" s="50"/>
    </row>
    <row r="103" spans="14:50" x14ac:dyDescent="0.3">
      <c r="N103" s="50"/>
      <c r="O103" s="50"/>
      <c r="P103" s="50"/>
      <c r="Q103" s="50"/>
      <c r="R103" s="50"/>
      <c r="S103" s="51"/>
      <c r="T103" s="50"/>
      <c r="U103" s="50"/>
      <c r="V103" s="72"/>
      <c r="W103" s="50"/>
      <c r="X103" s="50"/>
      <c r="Y103" s="37"/>
      <c r="Z103" s="37"/>
      <c r="AA103" s="37"/>
      <c r="AB103" s="37"/>
      <c r="AC103" s="72"/>
      <c r="AD103" s="37"/>
      <c r="AN103" s="50"/>
      <c r="AO103" s="50"/>
      <c r="AP103" s="50"/>
      <c r="AQ103" s="50"/>
      <c r="AR103" s="50"/>
      <c r="AS103" s="51"/>
      <c r="AT103" s="50"/>
      <c r="AU103" s="50"/>
      <c r="AV103" s="72"/>
      <c r="AW103" s="50"/>
      <c r="AX103" s="50"/>
    </row>
    <row r="104" spans="14:50" x14ac:dyDescent="0.3">
      <c r="N104" s="50"/>
      <c r="O104" s="50"/>
      <c r="P104" s="50"/>
      <c r="Q104" s="50"/>
      <c r="R104" s="50"/>
      <c r="S104" s="51"/>
      <c r="T104" s="50"/>
      <c r="U104" s="50"/>
      <c r="V104" s="72"/>
      <c r="W104" s="50"/>
      <c r="X104" s="50"/>
      <c r="Y104" s="37"/>
      <c r="Z104" s="37"/>
      <c r="AA104" s="37"/>
      <c r="AB104" s="37"/>
      <c r="AC104" s="72"/>
      <c r="AD104" s="37"/>
      <c r="AN104" s="50"/>
      <c r="AO104" s="50"/>
      <c r="AP104" s="50"/>
      <c r="AQ104" s="50"/>
      <c r="AR104" s="50"/>
      <c r="AS104" s="51"/>
      <c r="AT104" s="50"/>
      <c r="AU104" s="50"/>
      <c r="AV104" s="72"/>
      <c r="AW104" s="50"/>
      <c r="AX104" s="50"/>
    </row>
    <row r="105" spans="14:50" x14ac:dyDescent="0.3">
      <c r="N105" s="50"/>
      <c r="O105" s="50"/>
      <c r="P105" s="50"/>
      <c r="Q105" s="50"/>
      <c r="R105" s="50"/>
      <c r="S105" s="51"/>
      <c r="T105" s="50"/>
      <c r="U105" s="50"/>
      <c r="V105" s="72"/>
      <c r="W105" s="50"/>
      <c r="X105" s="50"/>
      <c r="Y105" s="37"/>
      <c r="Z105" s="37"/>
      <c r="AA105" s="37"/>
      <c r="AB105" s="37"/>
      <c r="AC105" s="72"/>
      <c r="AD105" s="37"/>
      <c r="AN105" s="50"/>
      <c r="AO105" s="50"/>
      <c r="AP105" s="50"/>
      <c r="AQ105" s="50"/>
      <c r="AR105" s="50"/>
      <c r="AS105" s="51"/>
      <c r="AT105" s="50"/>
      <c r="AU105" s="50"/>
      <c r="AV105" s="72"/>
      <c r="AW105" s="50"/>
      <c r="AX105" s="50"/>
    </row>
    <row r="106" spans="14:50" x14ac:dyDescent="0.3">
      <c r="N106" s="50"/>
      <c r="O106" s="50"/>
      <c r="P106" s="50"/>
      <c r="Q106" s="50"/>
      <c r="R106" s="50"/>
      <c r="S106" s="51"/>
      <c r="T106" s="50"/>
      <c r="U106" s="50"/>
      <c r="V106" s="72"/>
      <c r="W106" s="50"/>
      <c r="X106" s="50"/>
      <c r="Y106" s="37"/>
      <c r="Z106" s="37"/>
      <c r="AA106" s="37"/>
      <c r="AB106" s="37"/>
      <c r="AC106" s="72"/>
      <c r="AD106" s="37"/>
      <c r="AN106" s="50"/>
      <c r="AO106" s="50"/>
      <c r="AP106" s="50"/>
      <c r="AQ106" s="50"/>
      <c r="AR106" s="50"/>
      <c r="AS106" s="51"/>
      <c r="AT106" s="50"/>
      <c r="AU106" s="50"/>
      <c r="AV106" s="72"/>
      <c r="AW106" s="50"/>
      <c r="AX106" s="50"/>
    </row>
    <row r="107" spans="14:50" x14ac:dyDescent="0.3">
      <c r="N107" s="50"/>
      <c r="O107" s="50"/>
      <c r="P107" s="50"/>
      <c r="Q107" s="50"/>
      <c r="R107" s="50"/>
      <c r="S107" s="51"/>
      <c r="T107" s="50"/>
      <c r="U107" s="50"/>
      <c r="V107" s="72"/>
      <c r="W107" s="50"/>
      <c r="X107" s="50"/>
      <c r="Y107" s="37"/>
      <c r="Z107" s="37"/>
      <c r="AA107" s="37"/>
      <c r="AB107" s="37"/>
      <c r="AC107" s="72"/>
      <c r="AD107" s="37"/>
      <c r="AN107" s="50"/>
      <c r="AO107" s="50"/>
      <c r="AP107" s="50"/>
      <c r="AQ107" s="50"/>
      <c r="AR107" s="50"/>
      <c r="AS107" s="51"/>
      <c r="AT107" s="50"/>
      <c r="AU107" s="50"/>
      <c r="AV107" s="72"/>
      <c r="AW107" s="50"/>
      <c r="AX107" s="50"/>
    </row>
    <row r="108" spans="14:50" x14ac:dyDescent="0.3">
      <c r="N108" s="50"/>
      <c r="O108" s="50"/>
      <c r="P108" s="50"/>
      <c r="Q108" s="50"/>
      <c r="R108" s="50"/>
      <c r="S108" s="51"/>
      <c r="T108" s="50"/>
      <c r="U108" s="50"/>
      <c r="V108" s="72"/>
      <c r="W108" s="50"/>
      <c r="X108" s="50"/>
      <c r="Y108" s="37"/>
      <c r="Z108" s="37"/>
      <c r="AA108" s="37"/>
      <c r="AB108" s="37"/>
      <c r="AC108" s="72"/>
      <c r="AD108" s="37"/>
      <c r="AN108" s="50"/>
      <c r="AO108" s="50"/>
      <c r="AP108" s="50"/>
      <c r="AQ108" s="50"/>
      <c r="AR108" s="50"/>
      <c r="AS108" s="51"/>
      <c r="AT108" s="50"/>
      <c r="AU108" s="50"/>
      <c r="AV108" s="72"/>
      <c r="AW108" s="50"/>
      <c r="AX108" s="50"/>
    </row>
    <row r="109" spans="14:50" x14ac:dyDescent="0.3">
      <c r="N109" s="50"/>
      <c r="O109" s="50"/>
      <c r="P109" s="50"/>
      <c r="Q109" s="50"/>
      <c r="R109" s="50"/>
      <c r="S109" s="51"/>
      <c r="T109" s="50"/>
      <c r="U109" s="50"/>
      <c r="V109" s="72"/>
      <c r="W109" s="50"/>
      <c r="X109" s="50"/>
      <c r="Y109" s="37"/>
      <c r="Z109" s="37"/>
      <c r="AA109" s="37"/>
      <c r="AB109" s="37"/>
      <c r="AC109" s="72"/>
      <c r="AD109" s="37"/>
      <c r="AN109" s="50"/>
      <c r="AO109" s="50"/>
      <c r="AP109" s="50"/>
      <c r="AQ109" s="50"/>
      <c r="AR109" s="50"/>
      <c r="AS109" s="51"/>
      <c r="AT109" s="50"/>
      <c r="AU109" s="50"/>
      <c r="AV109" s="72"/>
      <c r="AW109" s="50"/>
      <c r="AX109" s="50"/>
    </row>
    <row r="110" spans="14:50" x14ac:dyDescent="0.3">
      <c r="N110" s="50"/>
      <c r="O110" s="50"/>
      <c r="P110" s="50"/>
      <c r="Q110" s="50"/>
      <c r="R110" s="50"/>
      <c r="S110" s="51"/>
      <c r="T110" s="50"/>
      <c r="U110" s="50"/>
      <c r="V110" s="72"/>
      <c r="W110" s="50"/>
      <c r="X110" s="50"/>
      <c r="Y110" s="37"/>
      <c r="Z110" s="37"/>
      <c r="AA110" s="37"/>
      <c r="AB110" s="37"/>
      <c r="AC110" s="72"/>
      <c r="AD110" s="37"/>
      <c r="AN110" s="50"/>
      <c r="AO110" s="50"/>
      <c r="AP110" s="50"/>
      <c r="AQ110" s="50"/>
      <c r="AR110" s="50"/>
      <c r="AS110" s="51"/>
      <c r="AT110" s="50"/>
      <c r="AU110" s="50"/>
      <c r="AV110" s="72"/>
      <c r="AW110" s="50"/>
      <c r="AX110" s="50"/>
    </row>
    <row r="111" spans="14:50" x14ac:dyDescent="0.3">
      <c r="N111" s="50"/>
      <c r="O111" s="50"/>
      <c r="P111" s="50"/>
      <c r="Q111" s="50"/>
      <c r="R111" s="50"/>
      <c r="S111" s="51"/>
      <c r="T111" s="50"/>
      <c r="U111" s="50"/>
      <c r="V111" s="72"/>
      <c r="W111" s="50"/>
      <c r="X111" s="50"/>
      <c r="Y111" s="37"/>
      <c r="Z111" s="37"/>
      <c r="AA111" s="37"/>
      <c r="AB111" s="37"/>
      <c r="AC111" s="72"/>
      <c r="AD111" s="37"/>
      <c r="AN111" s="50"/>
      <c r="AO111" s="50"/>
      <c r="AP111" s="50"/>
      <c r="AQ111" s="50"/>
      <c r="AR111" s="50"/>
      <c r="AS111" s="51"/>
      <c r="AT111" s="50"/>
      <c r="AU111" s="50"/>
      <c r="AV111" s="72"/>
      <c r="AW111" s="50"/>
      <c r="AX111" s="50"/>
    </row>
    <row r="112" spans="14:50" x14ac:dyDescent="0.3">
      <c r="N112" s="50"/>
      <c r="O112" s="50"/>
      <c r="P112" s="50"/>
      <c r="Q112" s="50"/>
      <c r="R112" s="50"/>
      <c r="S112" s="51"/>
      <c r="T112" s="50"/>
      <c r="U112" s="50"/>
      <c r="V112" s="72"/>
      <c r="W112" s="50"/>
      <c r="X112" s="50"/>
      <c r="Y112" s="37"/>
      <c r="Z112" s="37"/>
      <c r="AA112" s="37"/>
      <c r="AB112" s="37"/>
      <c r="AC112" s="72"/>
      <c r="AD112" s="37"/>
      <c r="AN112" s="50"/>
      <c r="AO112" s="50"/>
      <c r="AP112" s="50"/>
      <c r="AQ112" s="50"/>
      <c r="AR112" s="50"/>
      <c r="AS112" s="51"/>
      <c r="AT112" s="50"/>
      <c r="AU112" s="50"/>
      <c r="AV112" s="72"/>
      <c r="AW112" s="50"/>
      <c r="AX112" s="50"/>
    </row>
    <row r="113" spans="14:50" x14ac:dyDescent="0.3">
      <c r="N113" s="50"/>
      <c r="O113" s="50"/>
      <c r="P113" s="50"/>
      <c r="Q113" s="50"/>
      <c r="R113" s="50"/>
      <c r="S113" s="51"/>
      <c r="T113" s="50"/>
      <c r="U113" s="50"/>
      <c r="V113" s="72"/>
      <c r="W113" s="50"/>
      <c r="X113" s="50"/>
      <c r="Y113" s="37"/>
      <c r="Z113" s="37"/>
      <c r="AA113" s="37"/>
      <c r="AB113" s="37"/>
      <c r="AC113" s="72"/>
      <c r="AD113" s="37"/>
      <c r="AN113" s="50"/>
      <c r="AO113" s="50"/>
      <c r="AP113" s="50"/>
      <c r="AQ113" s="50"/>
      <c r="AR113" s="50"/>
      <c r="AS113" s="51"/>
      <c r="AT113" s="50"/>
      <c r="AU113" s="50"/>
      <c r="AV113" s="72"/>
      <c r="AW113" s="50"/>
      <c r="AX113" s="50"/>
    </row>
    <row r="114" spans="14:50" x14ac:dyDescent="0.3">
      <c r="N114" s="50"/>
      <c r="O114" s="50"/>
      <c r="P114" s="50"/>
      <c r="Q114" s="50"/>
      <c r="R114" s="50"/>
      <c r="S114" s="51"/>
      <c r="T114" s="50"/>
      <c r="U114" s="50"/>
      <c r="V114" s="72"/>
      <c r="W114" s="50"/>
      <c r="X114" s="50"/>
      <c r="Y114" s="37"/>
      <c r="Z114" s="37"/>
      <c r="AA114" s="37"/>
      <c r="AB114" s="37"/>
      <c r="AC114" s="72"/>
      <c r="AD114" s="37"/>
      <c r="AN114" s="50"/>
      <c r="AO114" s="50"/>
      <c r="AP114" s="50"/>
      <c r="AQ114" s="50"/>
      <c r="AR114" s="50"/>
      <c r="AS114" s="51"/>
      <c r="AT114" s="50"/>
      <c r="AU114" s="50"/>
      <c r="AV114" s="72"/>
      <c r="AW114" s="50"/>
      <c r="AX114" s="50"/>
    </row>
    <row r="115" spans="14:50" x14ac:dyDescent="0.3">
      <c r="N115" s="50"/>
      <c r="O115" s="50"/>
      <c r="P115" s="50"/>
      <c r="Q115" s="50"/>
      <c r="R115" s="50"/>
      <c r="S115" s="51"/>
      <c r="T115" s="50"/>
      <c r="U115" s="50"/>
      <c r="V115" s="72"/>
      <c r="W115" s="50"/>
      <c r="X115" s="50"/>
      <c r="Y115" s="37"/>
      <c r="Z115" s="37"/>
      <c r="AA115" s="37"/>
      <c r="AB115" s="37"/>
      <c r="AC115" s="72"/>
      <c r="AD115" s="37"/>
      <c r="AN115" s="50"/>
      <c r="AO115" s="50"/>
      <c r="AP115" s="50"/>
      <c r="AQ115" s="50"/>
      <c r="AR115" s="50"/>
      <c r="AS115" s="51"/>
      <c r="AT115" s="50"/>
      <c r="AU115" s="50"/>
      <c r="AV115" s="72"/>
      <c r="AW115" s="50"/>
      <c r="AX115" s="50"/>
    </row>
    <row r="116" spans="14:50" x14ac:dyDescent="0.3">
      <c r="N116" s="50"/>
      <c r="O116" s="50"/>
      <c r="P116" s="50"/>
      <c r="Q116" s="50"/>
      <c r="R116" s="50"/>
      <c r="S116" s="51"/>
      <c r="T116" s="50"/>
      <c r="U116" s="50"/>
      <c r="V116" s="72"/>
      <c r="W116" s="50"/>
      <c r="X116" s="50"/>
      <c r="Y116" s="37"/>
      <c r="Z116" s="37"/>
      <c r="AA116" s="37"/>
      <c r="AB116" s="37"/>
      <c r="AC116" s="72"/>
      <c r="AD116" s="37"/>
      <c r="AN116" s="50"/>
      <c r="AO116" s="50"/>
      <c r="AP116" s="50"/>
      <c r="AQ116" s="50"/>
      <c r="AR116" s="50"/>
      <c r="AS116" s="51"/>
      <c r="AT116" s="50"/>
      <c r="AU116" s="50"/>
      <c r="AV116" s="72"/>
      <c r="AW116" s="50"/>
      <c r="AX116" s="50"/>
    </row>
    <row r="117" spans="14:50" x14ac:dyDescent="0.3">
      <c r="N117" s="50"/>
      <c r="O117" s="50"/>
      <c r="P117" s="50"/>
      <c r="Q117" s="50"/>
      <c r="R117" s="50"/>
      <c r="S117" s="51"/>
      <c r="T117" s="50"/>
      <c r="U117" s="50"/>
      <c r="V117" s="72"/>
      <c r="W117" s="50"/>
      <c r="X117" s="50"/>
      <c r="Y117" s="37"/>
      <c r="Z117" s="37"/>
      <c r="AA117" s="37"/>
      <c r="AB117" s="37"/>
      <c r="AC117" s="72"/>
      <c r="AD117" s="37"/>
      <c r="AN117" s="50"/>
      <c r="AO117" s="50"/>
      <c r="AP117" s="50"/>
      <c r="AQ117" s="50"/>
      <c r="AR117" s="50"/>
      <c r="AS117" s="51"/>
      <c r="AT117" s="50"/>
      <c r="AU117" s="50"/>
      <c r="AV117" s="72"/>
      <c r="AW117" s="50"/>
      <c r="AX117" s="50"/>
    </row>
    <row r="118" spans="14:50" x14ac:dyDescent="0.3">
      <c r="N118" s="50"/>
      <c r="O118" s="50"/>
      <c r="P118" s="50"/>
      <c r="Q118" s="50"/>
      <c r="R118" s="50"/>
      <c r="S118" s="51"/>
      <c r="T118" s="50"/>
      <c r="U118" s="50"/>
      <c r="V118" s="72"/>
      <c r="W118" s="50"/>
      <c r="X118" s="50"/>
      <c r="Y118" s="37"/>
      <c r="Z118" s="37"/>
      <c r="AA118" s="37"/>
      <c r="AB118" s="37"/>
      <c r="AC118" s="72"/>
      <c r="AD118" s="37"/>
      <c r="AN118" s="50"/>
      <c r="AO118" s="50"/>
      <c r="AP118" s="50"/>
      <c r="AQ118" s="50"/>
      <c r="AR118" s="50"/>
      <c r="AS118" s="51"/>
      <c r="AT118" s="50"/>
      <c r="AU118" s="50"/>
      <c r="AV118" s="72"/>
      <c r="AW118" s="50"/>
      <c r="AX118" s="50"/>
    </row>
    <row r="119" spans="14:50" x14ac:dyDescent="0.3">
      <c r="N119" s="50"/>
      <c r="O119" s="50"/>
      <c r="P119" s="50"/>
      <c r="Q119" s="50"/>
      <c r="R119" s="50"/>
      <c r="S119" s="51"/>
      <c r="T119" s="50"/>
      <c r="U119" s="50"/>
      <c r="V119" s="72"/>
      <c r="W119" s="50"/>
      <c r="X119" s="50"/>
      <c r="Y119" s="37"/>
      <c r="Z119" s="37"/>
      <c r="AA119" s="37"/>
      <c r="AB119" s="37"/>
      <c r="AC119" s="72"/>
      <c r="AD119" s="37"/>
      <c r="AN119" s="50"/>
      <c r="AO119" s="50"/>
      <c r="AP119" s="50"/>
      <c r="AQ119" s="50"/>
      <c r="AR119" s="50"/>
      <c r="AS119" s="51"/>
      <c r="AT119" s="50"/>
      <c r="AU119" s="50"/>
      <c r="AV119" s="72"/>
      <c r="AW119" s="50"/>
      <c r="AX119" s="50"/>
    </row>
    <row r="120" spans="14:50" x14ac:dyDescent="0.3">
      <c r="N120" s="50"/>
      <c r="O120" s="50"/>
      <c r="P120" s="50"/>
      <c r="Q120" s="50"/>
      <c r="R120" s="50"/>
      <c r="S120" s="51"/>
      <c r="T120" s="50"/>
      <c r="U120" s="50"/>
      <c r="V120" s="72"/>
      <c r="W120" s="50"/>
      <c r="X120" s="50"/>
      <c r="Y120" s="37"/>
      <c r="Z120" s="37"/>
      <c r="AA120" s="37"/>
      <c r="AB120" s="37"/>
      <c r="AC120" s="72"/>
      <c r="AD120" s="37"/>
      <c r="AN120" s="50"/>
      <c r="AO120" s="50"/>
      <c r="AP120" s="50"/>
      <c r="AQ120" s="50"/>
      <c r="AR120" s="50"/>
      <c r="AS120" s="51"/>
      <c r="AT120" s="50"/>
      <c r="AU120" s="50"/>
      <c r="AV120" s="72"/>
      <c r="AW120" s="50"/>
      <c r="AX120" s="50"/>
    </row>
    <row r="121" spans="14:50" x14ac:dyDescent="0.3">
      <c r="N121" s="50"/>
      <c r="O121" s="50"/>
      <c r="P121" s="50"/>
      <c r="Q121" s="50"/>
      <c r="R121" s="50"/>
      <c r="S121" s="51"/>
      <c r="T121" s="50"/>
      <c r="U121" s="50"/>
      <c r="V121" s="72"/>
      <c r="W121" s="50"/>
      <c r="X121" s="50"/>
      <c r="Y121" s="37"/>
      <c r="Z121" s="37"/>
      <c r="AA121" s="37"/>
      <c r="AB121" s="37"/>
      <c r="AC121" s="72"/>
      <c r="AD121" s="37"/>
      <c r="AN121" s="50"/>
      <c r="AO121" s="50"/>
      <c r="AP121" s="50"/>
      <c r="AQ121" s="50"/>
      <c r="AR121" s="50"/>
      <c r="AS121" s="51"/>
      <c r="AT121" s="50"/>
      <c r="AU121" s="50"/>
      <c r="AV121" s="72"/>
      <c r="AW121" s="50"/>
      <c r="AX121" s="50"/>
    </row>
    <row r="122" spans="14:50" x14ac:dyDescent="0.3">
      <c r="N122" s="50"/>
      <c r="O122" s="50"/>
      <c r="P122" s="50"/>
      <c r="Q122" s="50"/>
      <c r="R122" s="50"/>
      <c r="S122" s="51"/>
      <c r="T122" s="50"/>
      <c r="U122" s="50"/>
      <c r="V122" s="72"/>
      <c r="W122" s="50"/>
      <c r="X122" s="50"/>
      <c r="Y122" s="37"/>
      <c r="Z122" s="37"/>
      <c r="AA122" s="37"/>
      <c r="AB122" s="37"/>
      <c r="AC122" s="72"/>
      <c r="AD122" s="37"/>
      <c r="AN122" s="50"/>
      <c r="AO122" s="50"/>
      <c r="AP122" s="50"/>
      <c r="AQ122" s="50"/>
      <c r="AR122" s="50"/>
      <c r="AS122" s="51"/>
      <c r="AT122" s="50"/>
      <c r="AU122" s="50"/>
      <c r="AV122" s="72"/>
      <c r="AW122" s="50"/>
      <c r="AX122" s="50"/>
    </row>
    <row r="123" spans="14:50" x14ac:dyDescent="0.3">
      <c r="N123" s="50"/>
      <c r="O123" s="50"/>
      <c r="P123" s="50"/>
      <c r="Q123" s="50"/>
      <c r="R123" s="50"/>
      <c r="S123" s="51"/>
      <c r="T123" s="50"/>
      <c r="U123" s="50"/>
      <c r="V123" s="72"/>
      <c r="W123" s="50"/>
      <c r="X123" s="50"/>
      <c r="Y123" s="37"/>
      <c r="Z123" s="37"/>
      <c r="AA123" s="37"/>
      <c r="AB123" s="37"/>
      <c r="AC123" s="72"/>
      <c r="AD123" s="37"/>
      <c r="AN123" s="50"/>
      <c r="AO123" s="50"/>
      <c r="AP123" s="50"/>
      <c r="AQ123" s="50"/>
      <c r="AR123" s="50"/>
      <c r="AS123" s="51"/>
      <c r="AT123" s="50"/>
      <c r="AU123" s="50"/>
      <c r="AV123" s="72"/>
      <c r="AW123" s="50"/>
      <c r="AX123" s="50"/>
    </row>
    <row r="124" spans="14:50" x14ac:dyDescent="0.3">
      <c r="N124" s="50"/>
      <c r="O124" s="50"/>
      <c r="P124" s="50"/>
      <c r="Q124" s="50"/>
      <c r="R124" s="50"/>
      <c r="S124" s="51"/>
      <c r="T124" s="50"/>
      <c r="U124" s="50"/>
      <c r="V124" s="72"/>
      <c r="W124" s="50"/>
      <c r="X124" s="50"/>
      <c r="Y124" s="37"/>
      <c r="Z124" s="37"/>
      <c r="AA124" s="37"/>
      <c r="AB124" s="37"/>
      <c r="AC124" s="72"/>
      <c r="AD124" s="37"/>
      <c r="AN124" s="50"/>
      <c r="AO124" s="50"/>
      <c r="AP124" s="50"/>
      <c r="AQ124" s="50"/>
      <c r="AR124" s="50"/>
      <c r="AS124" s="51"/>
      <c r="AT124" s="50"/>
      <c r="AU124" s="50"/>
      <c r="AV124" s="72"/>
      <c r="AW124" s="50"/>
      <c r="AX124" s="50"/>
    </row>
    <row r="125" spans="14:50" x14ac:dyDescent="0.3">
      <c r="N125" s="50"/>
      <c r="O125" s="50"/>
      <c r="P125" s="50"/>
      <c r="Q125" s="50"/>
      <c r="R125" s="50"/>
      <c r="S125" s="51"/>
      <c r="T125" s="50"/>
      <c r="U125" s="50"/>
      <c r="V125" s="72"/>
      <c r="W125" s="50"/>
      <c r="X125" s="50"/>
      <c r="Y125" s="37"/>
      <c r="Z125" s="37"/>
      <c r="AA125" s="37"/>
      <c r="AB125" s="37"/>
      <c r="AC125" s="72"/>
      <c r="AD125" s="37"/>
      <c r="AN125" s="50"/>
      <c r="AO125" s="50"/>
      <c r="AP125" s="50"/>
      <c r="AQ125" s="50"/>
      <c r="AR125" s="50"/>
      <c r="AS125" s="51"/>
      <c r="AT125" s="50"/>
      <c r="AU125" s="50"/>
      <c r="AV125" s="72"/>
      <c r="AW125" s="50"/>
      <c r="AX125" s="50"/>
    </row>
    <row r="126" spans="14:50" x14ac:dyDescent="0.3">
      <c r="N126" s="50"/>
      <c r="O126" s="50"/>
      <c r="P126" s="50"/>
      <c r="Q126" s="50"/>
      <c r="R126" s="50"/>
      <c r="S126" s="51"/>
      <c r="T126" s="50"/>
      <c r="U126" s="50"/>
      <c r="V126" s="72"/>
      <c r="W126" s="50"/>
      <c r="X126" s="50"/>
      <c r="Y126" s="37"/>
      <c r="Z126" s="37"/>
      <c r="AA126" s="37"/>
      <c r="AB126" s="37"/>
      <c r="AC126" s="72"/>
      <c r="AD126" s="37"/>
      <c r="AN126" s="50"/>
      <c r="AO126" s="50"/>
      <c r="AP126" s="50"/>
      <c r="AQ126" s="50"/>
      <c r="AR126" s="50"/>
      <c r="AS126" s="51"/>
      <c r="AT126" s="50"/>
      <c r="AU126" s="50"/>
      <c r="AV126" s="72"/>
      <c r="AW126" s="50"/>
      <c r="AX126" s="50"/>
    </row>
    <row r="127" spans="14:50" x14ac:dyDescent="0.3">
      <c r="N127" s="50"/>
      <c r="O127" s="50"/>
      <c r="P127" s="50"/>
      <c r="Q127" s="50"/>
      <c r="R127" s="50"/>
      <c r="S127" s="51"/>
      <c r="T127" s="50"/>
      <c r="U127" s="50"/>
      <c r="V127" s="72"/>
      <c r="W127" s="50"/>
      <c r="X127" s="50"/>
      <c r="Y127" s="37"/>
      <c r="Z127" s="37"/>
      <c r="AA127" s="37"/>
      <c r="AB127" s="37"/>
      <c r="AC127" s="72"/>
      <c r="AD127" s="37"/>
      <c r="AN127" s="50"/>
      <c r="AO127" s="50"/>
      <c r="AP127" s="50"/>
      <c r="AQ127" s="50"/>
      <c r="AR127" s="50"/>
      <c r="AS127" s="51"/>
      <c r="AT127" s="50"/>
      <c r="AU127" s="50"/>
      <c r="AV127" s="72"/>
      <c r="AW127" s="50"/>
      <c r="AX127" s="50"/>
    </row>
    <row r="128" spans="14:50" x14ac:dyDescent="0.3">
      <c r="N128" s="50"/>
      <c r="O128" s="50"/>
      <c r="P128" s="50"/>
      <c r="Q128" s="50"/>
      <c r="R128" s="50"/>
      <c r="S128" s="51"/>
      <c r="T128" s="50"/>
      <c r="U128" s="50"/>
      <c r="V128" s="72"/>
      <c r="W128" s="50"/>
      <c r="X128" s="50"/>
      <c r="Y128" s="37"/>
      <c r="Z128" s="37"/>
      <c r="AA128" s="37"/>
      <c r="AB128" s="37"/>
      <c r="AC128" s="72"/>
      <c r="AD128" s="37"/>
      <c r="AN128" s="50"/>
      <c r="AO128" s="50"/>
      <c r="AP128" s="50"/>
      <c r="AQ128" s="50"/>
      <c r="AR128" s="50"/>
      <c r="AS128" s="51"/>
      <c r="AT128" s="50"/>
      <c r="AU128" s="50"/>
      <c r="AV128" s="72"/>
      <c r="AW128" s="50"/>
      <c r="AX128" s="50"/>
    </row>
    <row r="129" spans="14:50" x14ac:dyDescent="0.3">
      <c r="N129" s="50"/>
      <c r="O129" s="50"/>
      <c r="P129" s="50"/>
      <c r="Q129" s="50"/>
      <c r="R129" s="50"/>
      <c r="S129" s="51"/>
      <c r="T129" s="50"/>
      <c r="U129" s="50"/>
      <c r="V129" s="72"/>
      <c r="W129" s="50"/>
      <c r="X129" s="50"/>
      <c r="Y129" s="37"/>
      <c r="Z129" s="37"/>
      <c r="AA129" s="37"/>
      <c r="AB129" s="37"/>
      <c r="AC129" s="72"/>
      <c r="AD129" s="37"/>
      <c r="AN129" s="50"/>
      <c r="AO129" s="50"/>
      <c r="AP129" s="50"/>
      <c r="AQ129" s="50"/>
      <c r="AR129" s="50"/>
      <c r="AS129" s="51"/>
      <c r="AT129" s="50"/>
      <c r="AU129" s="50"/>
      <c r="AV129" s="72"/>
      <c r="AW129" s="50"/>
      <c r="AX129" s="50"/>
    </row>
    <row r="130" spans="14:50" x14ac:dyDescent="0.3">
      <c r="N130" s="50"/>
      <c r="O130" s="50"/>
      <c r="P130" s="50"/>
      <c r="Q130" s="50"/>
      <c r="R130" s="50"/>
      <c r="S130" s="51"/>
      <c r="T130" s="50"/>
      <c r="U130" s="50"/>
      <c r="V130" s="72"/>
      <c r="W130" s="50"/>
      <c r="X130" s="50"/>
      <c r="Y130" s="37"/>
      <c r="Z130" s="37"/>
      <c r="AA130" s="37"/>
      <c r="AB130" s="37"/>
      <c r="AC130" s="72"/>
      <c r="AD130" s="37"/>
      <c r="AN130" s="50"/>
      <c r="AO130" s="50"/>
      <c r="AP130" s="50"/>
      <c r="AQ130" s="50"/>
      <c r="AR130" s="50"/>
      <c r="AS130" s="51"/>
      <c r="AT130" s="50"/>
      <c r="AU130" s="50"/>
      <c r="AV130" s="72"/>
      <c r="AW130" s="50"/>
      <c r="AX130" s="50"/>
    </row>
    <row r="131" spans="14:50" x14ac:dyDescent="0.3">
      <c r="N131" s="50"/>
      <c r="O131" s="50"/>
      <c r="P131" s="50"/>
      <c r="Q131" s="50"/>
      <c r="R131" s="50"/>
      <c r="S131" s="51"/>
      <c r="T131" s="50"/>
      <c r="U131" s="50"/>
      <c r="V131" s="72"/>
      <c r="W131" s="50"/>
      <c r="X131" s="50"/>
      <c r="Y131" s="37"/>
      <c r="Z131" s="37"/>
      <c r="AA131" s="37"/>
      <c r="AB131" s="37"/>
      <c r="AC131" s="72"/>
      <c r="AD131" s="37"/>
      <c r="AN131" s="50"/>
      <c r="AO131" s="50"/>
      <c r="AP131" s="50"/>
      <c r="AQ131" s="50"/>
      <c r="AR131" s="50"/>
      <c r="AS131" s="51"/>
      <c r="AT131" s="50"/>
      <c r="AU131" s="50"/>
      <c r="AV131" s="72"/>
      <c r="AW131" s="50"/>
      <c r="AX131" s="50"/>
    </row>
    <row r="132" spans="14:50" x14ac:dyDescent="0.3">
      <c r="N132" s="50"/>
      <c r="O132" s="50"/>
      <c r="P132" s="50"/>
      <c r="Q132" s="50"/>
      <c r="R132" s="50"/>
      <c r="S132" s="51"/>
      <c r="T132" s="50"/>
      <c r="U132" s="50"/>
      <c r="V132" s="72"/>
      <c r="W132" s="50"/>
      <c r="X132" s="50"/>
      <c r="Y132" s="37"/>
      <c r="Z132" s="37"/>
      <c r="AA132" s="37"/>
      <c r="AB132" s="37"/>
      <c r="AC132" s="72"/>
      <c r="AD132" s="37"/>
      <c r="AN132" s="50"/>
      <c r="AO132" s="50"/>
      <c r="AP132" s="50"/>
      <c r="AQ132" s="50"/>
      <c r="AR132" s="50"/>
      <c r="AS132" s="51"/>
      <c r="AT132" s="50"/>
      <c r="AU132" s="50"/>
      <c r="AV132" s="72"/>
      <c r="AW132" s="50"/>
      <c r="AX132" s="50"/>
    </row>
    <row r="133" spans="14:50" x14ac:dyDescent="0.3">
      <c r="N133" s="50"/>
      <c r="O133" s="50"/>
      <c r="P133" s="50"/>
      <c r="Q133" s="50"/>
      <c r="R133" s="50"/>
      <c r="S133" s="51"/>
      <c r="T133" s="50"/>
      <c r="U133" s="50"/>
      <c r="V133" s="72"/>
      <c r="W133" s="50"/>
      <c r="X133" s="50"/>
      <c r="Y133" s="37"/>
      <c r="Z133" s="37"/>
      <c r="AA133" s="37"/>
      <c r="AB133" s="37"/>
      <c r="AC133" s="72"/>
      <c r="AD133" s="37"/>
      <c r="AN133" s="50"/>
      <c r="AO133" s="50"/>
      <c r="AP133" s="50"/>
      <c r="AQ133" s="50"/>
      <c r="AR133" s="50"/>
      <c r="AS133" s="51"/>
      <c r="AT133" s="50"/>
      <c r="AU133" s="50"/>
      <c r="AV133" s="72"/>
      <c r="AW133" s="50"/>
      <c r="AX133" s="50"/>
    </row>
    <row r="134" spans="14:50" x14ac:dyDescent="0.3">
      <c r="N134" s="50"/>
      <c r="O134" s="50"/>
      <c r="P134" s="50"/>
      <c r="Q134" s="50"/>
      <c r="R134" s="50"/>
      <c r="S134" s="51"/>
      <c r="T134" s="50"/>
      <c r="U134" s="50"/>
      <c r="V134" s="72"/>
      <c r="W134" s="50"/>
      <c r="X134" s="50"/>
      <c r="Y134" s="37"/>
      <c r="Z134" s="37"/>
      <c r="AA134" s="37"/>
      <c r="AB134" s="37"/>
      <c r="AC134" s="72"/>
      <c r="AD134" s="37"/>
      <c r="AN134" s="50"/>
      <c r="AO134" s="50"/>
      <c r="AP134" s="50"/>
      <c r="AQ134" s="50"/>
      <c r="AR134" s="50"/>
      <c r="AS134" s="51"/>
      <c r="AT134" s="50"/>
      <c r="AU134" s="50"/>
      <c r="AV134" s="72"/>
      <c r="AW134" s="50"/>
      <c r="AX134" s="50"/>
    </row>
    <row r="135" spans="14:50" x14ac:dyDescent="0.3">
      <c r="N135" s="50"/>
      <c r="O135" s="50"/>
      <c r="P135" s="50"/>
      <c r="Q135" s="50"/>
      <c r="R135" s="50"/>
      <c r="S135" s="51"/>
      <c r="T135" s="50"/>
      <c r="U135" s="50"/>
      <c r="V135" s="72"/>
      <c r="W135" s="50"/>
      <c r="X135" s="50"/>
      <c r="Y135" s="37"/>
      <c r="Z135" s="37"/>
      <c r="AA135" s="37"/>
      <c r="AB135" s="37"/>
      <c r="AC135" s="72"/>
      <c r="AD135" s="37"/>
      <c r="AN135" s="50"/>
      <c r="AO135" s="50"/>
      <c r="AP135" s="50"/>
      <c r="AQ135" s="50"/>
      <c r="AR135" s="50"/>
      <c r="AS135" s="51"/>
      <c r="AT135" s="50"/>
      <c r="AU135" s="50"/>
      <c r="AV135" s="72"/>
      <c r="AW135" s="50"/>
      <c r="AX135" s="50"/>
    </row>
    <row r="136" spans="14:50" x14ac:dyDescent="0.3">
      <c r="N136" s="50"/>
      <c r="O136" s="50"/>
      <c r="P136" s="50"/>
      <c r="Q136" s="50"/>
      <c r="R136" s="50"/>
      <c r="S136" s="51"/>
      <c r="T136" s="50"/>
      <c r="U136" s="50"/>
      <c r="V136" s="72"/>
      <c r="W136" s="50"/>
      <c r="X136" s="50"/>
      <c r="Y136" s="37"/>
      <c r="Z136" s="37"/>
      <c r="AA136" s="37"/>
      <c r="AB136" s="37"/>
      <c r="AC136" s="72"/>
      <c r="AD136" s="37"/>
      <c r="AN136" s="50"/>
      <c r="AO136" s="50"/>
      <c r="AP136" s="50"/>
      <c r="AQ136" s="50"/>
      <c r="AR136" s="50"/>
      <c r="AS136" s="51"/>
      <c r="AT136" s="50"/>
      <c r="AU136" s="50"/>
      <c r="AV136" s="72"/>
      <c r="AW136" s="50"/>
      <c r="AX136" s="50"/>
    </row>
    <row r="137" spans="14:50" x14ac:dyDescent="0.3">
      <c r="N137" s="50"/>
      <c r="O137" s="50"/>
      <c r="P137" s="50"/>
      <c r="Q137" s="50"/>
      <c r="R137" s="50"/>
      <c r="S137" s="51"/>
      <c r="T137" s="50"/>
      <c r="U137" s="50"/>
      <c r="V137" s="72"/>
      <c r="W137" s="50"/>
      <c r="X137" s="50"/>
      <c r="Y137" s="37"/>
      <c r="Z137" s="37"/>
      <c r="AA137" s="37"/>
      <c r="AB137" s="37"/>
      <c r="AC137" s="72"/>
      <c r="AD137" s="37"/>
      <c r="AN137" s="50"/>
      <c r="AO137" s="50"/>
      <c r="AP137" s="50"/>
      <c r="AQ137" s="50"/>
      <c r="AR137" s="50"/>
      <c r="AS137" s="51"/>
      <c r="AT137" s="50"/>
      <c r="AU137" s="50"/>
      <c r="AV137" s="72"/>
      <c r="AW137" s="50"/>
      <c r="AX137" s="50"/>
    </row>
    <row r="138" spans="14:50" x14ac:dyDescent="0.3">
      <c r="N138" s="50"/>
      <c r="O138" s="50"/>
      <c r="P138" s="50"/>
      <c r="Q138" s="50"/>
      <c r="R138" s="50"/>
      <c r="S138" s="51"/>
      <c r="T138" s="50"/>
      <c r="U138" s="50"/>
      <c r="V138" s="72"/>
      <c r="W138" s="50"/>
      <c r="X138" s="50"/>
      <c r="Y138" s="37"/>
      <c r="Z138" s="37"/>
      <c r="AA138" s="37"/>
      <c r="AB138" s="37"/>
      <c r="AC138" s="72"/>
      <c r="AD138" s="37"/>
      <c r="AN138" s="50"/>
      <c r="AO138" s="50"/>
      <c r="AP138" s="50"/>
      <c r="AQ138" s="50"/>
      <c r="AR138" s="50"/>
      <c r="AS138" s="51"/>
      <c r="AT138" s="50"/>
      <c r="AU138" s="50"/>
      <c r="AV138" s="72"/>
      <c r="AW138" s="50"/>
      <c r="AX138" s="50"/>
    </row>
    <row r="139" spans="14:50" x14ac:dyDescent="0.3">
      <c r="N139" s="50"/>
      <c r="O139" s="50"/>
      <c r="P139" s="50"/>
      <c r="Q139" s="50"/>
      <c r="R139" s="50"/>
      <c r="S139" s="51"/>
      <c r="T139" s="50"/>
      <c r="U139" s="50"/>
      <c r="V139" s="72"/>
      <c r="W139" s="50"/>
      <c r="X139" s="50"/>
      <c r="Y139" s="37"/>
      <c r="Z139" s="37"/>
      <c r="AA139" s="37"/>
      <c r="AB139" s="37"/>
      <c r="AC139" s="72"/>
      <c r="AD139" s="37"/>
      <c r="AN139" s="50"/>
      <c r="AO139" s="50"/>
      <c r="AP139" s="50"/>
      <c r="AQ139" s="50"/>
      <c r="AR139" s="50"/>
      <c r="AS139" s="51"/>
      <c r="AT139" s="50"/>
      <c r="AU139" s="50"/>
      <c r="AV139" s="72"/>
      <c r="AW139" s="50"/>
      <c r="AX139" s="50"/>
    </row>
    <row r="140" spans="14:50" x14ac:dyDescent="0.3">
      <c r="N140" s="50"/>
      <c r="O140" s="50"/>
      <c r="P140" s="50"/>
      <c r="Q140" s="50"/>
      <c r="R140" s="50"/>
      <c r="S140" s="51"/>
      <c r="T140" s="50"/>
      <c r="U140" s="50"/>
      <c r="V140" s="72"/>
      <c r="W140" s="50"/>
      <c r="X140" s="50"/>
      <c r="Y140" s="37"/>
      <c r="Z140" s="37"/>
      <c r="AA140" s="37"/>
      <c r="AB140" s="37"/>
      <c r="AC140" s="72"/>
      <c r="AD140" s="37"/>
      <c r="AN140" s="50"/>
      <c r="AO140" s="50"/>
      <c r="AP140" s="50"/>
      <c r="AQ140" s="50"/>
      <c r="AR140" s="50"/>
      <c r="AS140" s="51"/>
      <c r="AT140" s="50"/>
      <c r="AU140" s="50"/>
      <c r="AV140" s="72"/>
      <c r="AW140" s="50"/>
      <c r="AX140" s="50"/>
    </row>
    <row r="141" spans="14:50" x14ac:dyDescent="0.3">
      <c r="N141" s="50"/>
      <c r="O141" s="50"/>
      <c r="P141" s="50"/>
      <c r="Q141" s="50"/>
      <c r="R141" s="50"/>
      <c r="S141" s="51"/>
      <c r="T141" s="50"/>
      <c r="U141" s="50"/>
      <c r="V141" s="72"/>
      <c r="W141" s="50"/>
      <c r="X141" s="50"/>
      <c r="Y141" s="37"/>
      <c r="Z141" s="37"/>
      <c r="AA141" s="37"/>
      <c r="AB141" s="37"/>
      <c r="AC141" s="72"/>
      <c r="AD141" s="37"/>
      <c r="AN141" s="50"/>
      <c r="AO141" s="50"/>
      <c r="AP141" s="50"/>
      <c r="AQ141" s="50"/>
      <c r="AR141" s="50"/>
      <c r="AS141" s="51"/>
      <c r="AT141" s="50"/>
      <c r="AU141" s="50"/>
      <c r="AV141" s="72"/>
      <c r="AW141" s="50"/>
      <c r="AX141" s="50"/>
    </row>
    <row r="142" spans="14:50" x14ac:dyDescent="0.3">
      <c r="N142" s="50"/>
      <c r="O142" s="50"/>
      <c r="P142" s="50"/>
      <c r="Q142" s="50"/>
      <c r="R142" s="50"/>
      <c r="S142" s="51"/>
      <c r="T142" s="50"/>
      <c r="U142" s="50"/>
      <c r="V142" s="72"/>
      <c r="W142" s="50"/>
      <c r="X142" s="50"/>
      <c r="Y142" s="37"/>
      <c r="Z142" s="37"/>
      <c r="AA142" s="37"/>
      <c r="AB142" s="37"/>
      <c r="AC142" s="72"/>
      <c r="AD142" s="37"/>
      <c r="AN142" s="50"/>
      <c r="AO142" s="50"/>
      <c r="AP142" s="50"/>
      <c r="AQ142" s="50"/>
      <c r="AR142" s="50"/>
      <c r="AS142" s="51"/>
      <c r="AT142" s="50"/>
      <c r="AU142" s="50"/>
      <c r="AV142" s="72"/>
      <c r="AW142" s="50"/>
      <c r="AX142" s="50"/>
    </row>
    <row r="143" spans="14:50" x14ac:dyDescent="0.3">
      <c r="N143" s="50"/>
      <c r="O143" s="50"/>
      <c r="P143" s="50"/>
      <c r="Q143" s="50"/>
      <c r="R143" s="50"/>
      <c r="S143" s="51"/>
      <c r="T143" s="50"/>
      <c r="U143" s="50"/>
      <c r="V143" s="72"/>
      <c r="W143" s="50"/>
      <c r="X143" s="50"/>
      <c r="Y143" s="37"/>
      <c r="Z143" s="37"/>
      <c r="AA143" s="37"/>
      <c r="AB143" s="37"/>
      <c r="AC143" s="72"/>
      <c r="AD143" s="37"/>
      <c r="AN143" s="50"/>
      <c r="AO143" s="50"/>
      <c r="AP143" s="50"/>
      <c r="AQ143" s="50"/>
      <c r="AR143" s="50"/>
      <c r="AS143" s="51"/>
      <c r="AT143" s="50"/>
      <c r="AU143" s="50"/>
      <c r="AV143" s="72"/>
      <c r="AW143" s="50"/>
      <c r="AX143" s="50"/>
    </row>
    <row r="144" spans="14:50" x14ac:dyDescent="0.3">
      <c r="N144" s="50"/>
      <c r="O144" s="50"/>
      <c r="P144" s="50"/>
      <c r="Q144" s="50"/>
      <c r="R144" s="50"/>
      <c r="S144" s="51"/>
      <c r="T144" s="50"/>
      <c r="U144" s="50"/>
      <c r="V144" s="72"/>
      <c r="W144" s="50"/>
      <c r="X144" s="50"/>
      <c r="Y144" s="37"/>
      <c r="Z144" s="37"/>
      <c r="AA144" s="37"/>
      <c r="AB144" s="37"/>
      <c r="AC144" s="72"/>
      <c r="AD144" s="37"/>
      <c r="AN144" s="50"/>
      <c r="AO144" s="50"/>
      <c r="AP144" s="50"/>
      <c r="AQ144" s="50"/>
      <c r="AR144" s="50"/>
      <c r="AS144" s="51"/>
      <c r="AT144" s="50"/>
      <c r="AU144" s="50"/>
      <c r="AV144" s="72"/>
      <c r="AW144" s="50"/>
      <c r="AX144" s="50"/>
    </row>
    <row r="145" spans="14:50" x14ac:dyDescent="0.3">
      <c r="N145" s="50"/>
      <c r="O145" s="50"/>
      <c r="P145" s="50"/>
      <c r="Q145" s="50"/>
      <c r="R145" s="50"/>
      <c r="S145" s="51"/>
      <c r="T145" s="50"/>
      <c r="U145" s="50"/>
      <c r="V145" s="72"/>
      <c r="W145" s="50"/>
      <c r="X145" s="50"/>
      <c r="Y145" s="37"/>
      <c r="Z145" s="37"/>
      <c r="AA145" s="37"/>
      <c r="AB145" s="37"/>
      <c r="AC145" s="72"/>
      <c r="AD145" s="37"/>
      <c r="AN145" s="50"/>
      <c r="AO145" s="50"/>
      <c r="AP145" s="50"/>
      <c r="AQ145" s="50"/>
      <c r="AR145" s="50"/>
      <c r="AS145" s="51"/>
      <c r="AT145" s="50"/>
      <c r="AU145" s="50"/>
      <c r="AV145" s="72"/>
      <c r="AW145" s="50"/>
      <c r="AX145" s="50"/>
    </row>
    <row r="146" spans="14:50" x14ac:dyDescent="0.3">
      <c r="N146" s="50"/>
      <c r="O146" s="50"/>
      <c r="P146" s="50"/>
      <c r="Q146" s="50"/>
      <c r="R146" s="50"/>
      <c r="S146" s="51"/>
      <c r="T146" s="50"/>
      <c r="U146" s="50"/>
      <c r="V146" s="72"/>
      <c r="W146" s="50"/>
      <c r="X146" s="50"/>
      <c r="Y146" s="37"/>
      <c r="Z146" s="37"/>
      <c r="AA146" s="37"/>
      <c r="AB146" s="37"/>
      <c r="AC146" s="72"/>
      <c r="AD146" s="37"/>
      <c r="AN146" s="50"/>
      <c r="AO146" s="50"/>
      <c r="AP146" s="50"/>
      <c r="AQ146" s="50"/>
      <c r="AR146" s="50"/>
      <c r="AS146" s="51"/>
      <c r="AT146" s="50"/>
      <c r="AU146" s="50"/>
      <c r="AV146" s="72"/>
      <c r="AW146" s="50"/>
      <c r="AX146" s="50"/>
    </row>
    <row r="147" spans="14:50" x14ac:dyDescent="0.3">
      <c r="N147" s="50"/>
      <c r="O147" s="50"/>
      <c r="P147" s="50"/>
      <c r="Q147" s="50"/>
      <c r="R147" s="50"/>
      <c r="S147" s="51"/>
      <c r="T147" s="50"/>
      <c r="U147" s="50"/>
      <c r="V147" s="72"/>
      <c r="W147" s="50"/>
      <c r="X147" s="50"/>
      <c r="Y147" s="37"/>
      <c r="Z147" s="37"/>
      <c r="AA147" s="37"/>
      <c r="AB147" s="37"/>
      <c r="AC147" s="72"/>
      <c r="AD147" s="37"/>
      <c r="AN147" s="50"/>
      <c r="AO147" s="50"/>
      <c r="AP147" s="50"/>
      <c r="AQ147" s="50"/>
      <c r="AR147" s="50"/>
      <c r="AS147" s="51"/>
      <c r="AT147" s="50"/>
      <c r="AU147" s="50"/>
      <c r="AV147" s="72"/>
      <c r="AW147" s="50"/>
      <c r="AX147" s="50"/>
    </row>
    <row r="148" spans="14:50" x14ac:dyDescent="0.3">
      <c r="N148" s="50"/>
      <c r="O148" s="50"/>
      <c r="P148" s="50"/>
      <c r="Q148" s="50"/>
      <c r="R148" s="50"/>
      <c r="S148" s="51"/>
      <c r="T148" s="50"/>
      <c r="U148" s="50"/>
      <c r="V148" s="72"/>
      <c r="W148" s="50"/>
      <c r="X148" s="50"/>
      <c r="Y148" s="37"/>
      <c r="Z148" s="37"/>
      <c r="AA148" s="37"/>
      <c r="AB148" s="37"/>
      <c r="AC148" s="72"/>
      <c r="AD148" s="37"/>
      <c r="AN148" s="50"/>
      <c r="AO148" s="50"/>
      <c r="AP148" s="50"/>
      <c r="AQ148" s="50"/>
      <c r="AR148" s="50"/>
      <c r="AS148" s="51"/>
      <c r="AT148" s="50"/>
      <c r="AU148" s="50"/>
      <c r="AV148" s="72"/>
      <c r="AW148" s="50"/>
      <c r="AX148" s="50"/>
    </row>
    <row r="149" spans="14:50" x14ac:dyDescent="0.3">
      <c r="N149" s="50"/>
      <c r="O149" s="50"/>
      <c r="P149" s="50"/>
      <c r="Q149" s="50"/>
      <c r="R149" s="50"/>
      <c r="S149" s="51"/>
      <c r="T149" s="50"/>
      <c r="U149" s="50"/>
      <c r="V149" s="72"/>
      <c r="W149" s="50"/>
      <c r="X149" s="50"/>
      <c r="Y149" s="37"/>
      <c r="Z149" s="37"/>
      <c r="AA149" s="37"/>
      <c r="AB149" s="37"/>
      <c r="AC149" s="72"/>
      <c r="AD149" s="37"/>
      <c r="AN149" s="50"/>
      <c r="AO149" s="50"/>
      <c r="AP149" s="50"/>
      <c r="AQ149" s="50"/>
      <c r="AR149" s="50"/>
      <c r="AS149" s="51"/>
      <c r="AT149" s="50"/>
      <c r="AU149" s="50"/>
      <c r="AV149" s="72"/>
      <c r="AW149" s="50"/>
      <c r="AX149" s="50"/>
    </row>
    <row r="150" spans="14:50" x14ac:dyDescent="0.3">
      <c r="N150" s="50"/>
      <c r="O150" s="50"/>
      <c r="P150" s="50"/>
      <c r="Q150" s="50"/>
      <c r="R150" s="50"/>
      <c r="S150" s="51"/>
      <c r="T150" s="50"/>
      <c r="U150" s="50"/>
      <c r="V150" s="72"/>
      <c r="W150" s="50"/>
      <c r="X150" s="50"/>
      <c r="Y150" s="37"/>
      <c r="Z150" s="37"/>
      <c r="AA150" s="37"/>
      <c r="AB150" s="37"/>
      <c r="AC150" s="72"/>
      <c r="AD150" s="37"/>
      <c r="AN150" s="50"/>
      <c r="AO150" s="50"/>
      <c r="AP150" s="50"/>
      <c r="AQ150" s="50"/>
      <c r="AR150" s="50"/>
      <c r="AS150" s="51"/>
      <c r="AT150" s="50"/>
      <c r="AU150" s="50"/>
      <c r="AV150" s="72"/>
      <c r="AW150" s="50"/>
      <c r="AX150" s="50"/>
    </row>
    <row r="151" spans="14:50" x14ac:dyDescent="0.3">
      <c r="N151" s="50"/>
      <c r="O151" s="50"/>
      <c r="P151" s="50"/>
      <c r="Q151" s="50"/>
      <c r="R151" s="50"/>
      <c r="S151" s="51"/>
      <c r="T151" s="50"/>
      <c r="U151" s="50"/>
      <c r="V151" s="72"/>
      <c r="W151" s="50"/>
      <c r="X151" s="50"/>
      <c r="Y151" s="37"/>
      <c r="Z151" s="37"/>
      <c r="AA151" s="37"/>
      <c r="AB151" s="37"/>
      <c r="AC151" s="72"/>
      <c r="AD151" s="37"/>
      <c r="AN151" s="50"/>
      <c r="AO151" s="50"/>
      <c r="AP151" s="50"/>
      <c r="AQ151" s="50"/>
      <c r="AR151" s="50"/>
      <c r="AS151" s="51"/>
      <c r="AT151" s="50"/>
      <c r="AU151" s="50"/>
      <c r="AV151" s="72"/>
      <c r="AW151" s="50"/>
      <c r="AX151" s="50"/>
    </row>
    <row r="152" spans="14:50" x14ac:dyDescent="0.3">
      <c r="N152" s="50"/>
      <c r="O152" s="50"/>
      <c r="P152" s="50"/>
      <c r="Q152" s="50"/>
      <c r="R152" s="50"/>
      <c r="S152" s="51"/>
      <c r="T152" s="50"/>
      <c r="U152" s="50"/>
      <c r="V152" s="72"/>
      <c r="W152" s="50"/>
      <c r="X152" s="50"/>
      <c r="Y152" s="37"/>
      <c r="Z152" s="37"/>
      <c r="AA152" s="37"/>
      <c r="AB152" s="37"/>
      <c r="AC152" s="72"/>
      <c r="AD152" s="37"/>
      <c r="AN152" s="50"/>
      <c r="AO152" s="50"/>
      <c r="AP152" s="50"/>
      <c r="AQ152" s="50"/>
      <c r="AR152" s="50"/>
      <c r="AS152" s="51"/>
      <c r="AT152" s="50"/>
      <c r="AU152" s="50"/>
      <c r="AV152" s="72"/>
      <c r="AW152" s="50"/>
      <c r="AX152" s="50"/>
    </row>
    <row r="153" spans="14:50" x14ac:dyDescent="0.3">
      <c r="N153" s="50"/>
      <c r="O153" s="50"/>
      <c r="P153" s="50"/>
      <c r="Q153" s="50"/>
      <c r="R153" s="50"/>
      <c r="S153" s="51"/>
      <c r="T153" s="50"/>
      <c r="U153" s="50"/>
      <c r="V153" s="72"/>
      <c r="W153" s="50"/>
      <c r="X153" s="50"/>
      <c r="Y153" s="37"/>
      <c r="Z153" s="37"/>
      <c r="AA153" s="37"/>
      <c r="AB153" s="37"/>
      <c r="AC153" s="72"/>
      <c r="AD153" s="37"/>
      <c r="AN153" s="50"/>
      <c r="AO153" s="50"/>
      <c r="AP153" s="50"/>
      <c r="AQ153" s="50"/>
      <c r="AR153" s="50"/>
      <c r="AS153" s="51"/>
      <c r="AT153" s="50"/>
      <c r="AU153" s="50"/>
      <c r="AV153" s="72"/>
      <c r="AW153" s="50"/>
      <c r="AX153" s="50"/>
    </row>
    <row r="154" spans="14:50" x14ac:dyDescent="0.3">
      <c r="N154" s="50"/>
      <c r="O154" s="50"/>
      <c r="P154" s="50"/>
      <c r="Q154" s="50"/>
      <c r="R154" s="50"/>
      <c r="S154" s="51"/>
      <c r="T154" s="50"/>
      <c r="U154" s="50"/>
      <c r="V154" s="72"/>
      <c r="W154" s="50"/>
      <c r="X154" s="50"/>
      <c r="Y154" s="37"/>
      <c r="Z154" s="37"/>
      <c r="AA154" s="37"/>
      <c r="AB154" s="37"/>
      <c r="AC154" s="72"/>
      <c r="AD154" s="37"/>
      <c r="AN154" s="50"/>
      <c r="AO154" s="50"/>
      <c r="AP154" s="50"/>
      <c r="AQ154" s="50"/>
      <c r="AR154" s="50"/>
      <c r="AS154" s="51"/>
      <c r="AT154" s="50"/>
      <c r="AU154" s="50"/>
      <c r="AV154" s="72"/>
      <c r="AW154" s="50"/>
      <c r="AX154" s="50"/>
    </row>
    <row r="155" spans="14:50" x14ac:dyDescent="0.3">
      <c r="N155" s="50"/>
      <c r="O155" s="50"/>
      <c r="P155" s="50"/>
      <c r="Q155" s="50"/>
      <c r="R155" s="50"/>
      <c r="S155" s="51"/>
      <c r="T155" s="50"/>
      <c r="U155" s="50"/>
      <c r="V155" s="72"/>
      <c r="W155" s="50"/>
      <c r="X155" s="50"/>
      <c r="Y155" s="37"/>
      <c r="Z155" s="37"/>
      <c r="AA155" s="37"/>
      <c r="AB155" s="37"/>
      <c r="AC155" s="72"/>
      <c r="AD155" s="37"/>
      <c r="AN155" s="50"/>
      <c r="AO155" s="50"/>
      <c r="AP155" s="50"/>
      <c r="AQ155" s="50"/>
      <c r="AR155" s="50"/>
      <c r="AS155" s="51"/>
      <c r="AT155" s="50"/>
      <c r="AU155" s="50"/>
      <c r="AV155" s="72"/>
      <c r="AW155" s="50"/>
      <c r="AX155" s="50"/>
    </row>
    <row r="156" spans="14:50" x14ac:dyDescent="0.3">
      <c r="N156" s="50"/>
      <c r="O156" s="50"/>
      <c r="P156" s="50"/>
      <c r="Q156" s="50"/>
      <c r="R156" s="50"/>
      <c r="S156" s="51"/>
      <c r="T156" s="50"/>
      <c r="U156" s="50"/>
      <c r="V156" s="72"/>
      <c r="W156" s="50"/>
      <c r="X156" s="50"/>
      <c r="Y156" s="37"/>
      <c r="Z156" s="37"/>
      <c r="AA156" s="37"/>
      <c r="AB156" s="37"/>
      <c r="AC156" s="72"/>
      <c r="AD156" s="37"/>
      <c r="AN156" s="50"/>
      <c r="AO156" s="50"/>
      <c r="AP156" s="50"/>
      <c r="AQ156" s="50"/>
      <c r="AR156" s="50"/>
      <c r="AS156" s="51"/>
      <c r="AT156" s="50"/>
      <c r="AU156" s="50"/>
      <c r="AV156" s="72"/>
      <c r="AW156" s="50"/>
      <c r="AX156" s="50"/>
    </row>
    <row r="157" spans="14:50" x14ac:dyDescent="0.3">
      <c r="N157" s="50"/>
      <c r="O157" s="50"/>
      <c r="P157" s="50"/>
      <c r="Q157" s="50"/>
      <c r="R157" s="50"/>
      <c r="S157" s="51"/>
      <c r="T157" s="50"/>
      <c r="U157" s="50"/>
      <c r="V157" s="72"/>
      <c r="W157" s="50"/>
      <c r="X157" s="50"/>
      <c r="Y157" s="37"/>
      <c r="Z157" s="37"/>
      <c r="AA157" s="37"/>
      <c r="AB157" s="37"/>
      <c r="AC157" s="72"/>
      <c r="AD157" s="37"/>
      <c r="AN157" s="50"/>
      <c r="AO157" s="50"/>
      <c r="AP157" s="50"/>
      <c r="AQ157" s="50"/>
      <c r="AR157" s="50"/>
      <c r="AS157" s="51"/>
      <c r="AT157" s="50"/>
      <c r="AU157" s="50"/>
      <c r="AV157" s="72"/>
      <c r="AW157" s="50"/>
      <c r="AX157" s="50"/>
    </row>
    <row r="158" spans="14:50" x14ac:dyDescent="0.3">
      <c r="N158" s="50"/>
      <c r="O158" s="50"/>
      <c r="P158" s="50"/>
      <c r="Q158" s="50"/>
      <c r="R158" s="50"/>
      <c r="S158" s="51"/>
      <c r="T158" s="50"/>
      <c r="U158" s="50"/>
      <c r="V158" s="72"/>
      <c r="W158" s="50"/>
      <c r="X158" s="50"/>
      <c r="Y158" s="37"/>
      <c r="Z158" s="37"/>
      <c r="AA158" s="37"/>
      <c r="AB158" s="37"/>
      <c r="AC158" s="72"/>
      <c r="AD158" s="37"/>
      <c r="AN158" s="50"/>
      <c r="AO158" s="50"/>
      <c r="AP158" s="50"/>
      <c r="AQ158" s="50"/>
      <c r="AR158" s="50"/>
      <c r="AS158" s="51"/>
      <c r="AT158" s="50"/>
      <c r="AU158" s="50"/>
      <c r="AV158" s="72"/>
      <c r="AW158" s="50"/>
      <c r="AX158" s="50"/>
    </row>
    <row r="159" spans="14:50" x14ac:dyDescent="0.3">
      <c r="N159" s="50"/>
      <c r="O159" s="50"/>
      <c r="P159" s="50"/>
      <c r="Q159" s="50"/>
      <c r="R159" s="50"/>
      <c r="S159" s="51"/>
      <c r="T159" s="50"/>
      <c r="U159" s="50"/>
      <c r="V159" s="72"/>
      <c r="W159" s="50"/>
      <c r="X159" s="50"/>
      <c r="Y159" s="37"/>
      <c r="Z159" s="37"/>
      <c r="AA159" s="37"/>
      <c r="AB159" s="37"/>
      <c r="AC159" s="72"/>
      <c r="AD159" s="37"/>
      <c r="AN159" s="50"/>
      <c r="AO159" s="50"/>
      <c r="AP159" s="50"/>
      <c r="AQ159" s="50"/>
      <c r="AR159" s="50"/>
      <c r="AS159" s="51"/>
      <c r="AT159" s="50"/>
      <c r="AU159" s="50"/>
      <c r="AV159" s="72"/>
      <c r="AW159" s="50"/>
      <c r="AX159" s="50"/>
    </row>
    <row r="160" spans="14:50" x14ac:dyDescent="0.3">
      <c r="N160" s="50"/>
      <c r="O160" s="50"/>
      <c r="P160" s="50"/>
      <c r="Q160" s="50"/>
      <c r="R160" s="50"/>
      <c r="S160" s="51"/>
      <c r="T160" s="50"/>
      <c r="U160" s="50"/>
      <c r="V160" s="72"/>
      <c r="W160" s="50"/>
      <c r="X160" s="50"/>
      <c r="Y160" s="37"/>
      <c r="Z160" s="37"/>
      <c r="AA160" s="37"/>
      <c r="AB160" s="37"/>
      <c r="AC160" s="72"/>
      <c r="AD160" s="37"/>
      <c r="AN160" s="50"/>
      <c r="AO160" s="50"/>
      <c r="AP160" s="50"/>
      <c r="AQ160" s="50"/>
      <c r="AR160" s="50"/>
      <c r="AS160" s="51"/>
      <c r="AT160" s="50"/>
      <c r="AU160" s="50"/>
      <c r="AV160" s="72"/>
      <c r="AW160" s="50"/>
      <c r="AX160" s="50"/>
    </row>
    <row r="161" spans="14:50" x14ac:dyDescent="0.3">
      <c r="N161" s="50"/>
      <c r="O161" s="50"/>
      <c r="P161" s="50"/>
      <c r="Q161" s="50"/>
      <c r="R161" s="50"/>
      <c r="S161" s="51"/>
      <c r="T161" s="50"/>
      <c r="U161" s="50"/>
      <c r="V161" s="72"/>
      <c r="W161" s="50"/>
      <c r="X161" s="50"/>
      <c r="Y161" s="37"/>
      <c r="Z161" s="37"/>
      <c r="AA161" s="37"/>
      <c r="AB161" s="37"/>
      <c r="AC161" s="72"/>
      <c r="AD161" s="37"/>
      <c r="AN161" s="50"/>
      <c r="AO161" s="50"/>
      <c r="AP161" s="50"/>
      <c r="AQ161" s="50"/>
      <c r="AR161" s="50"/>
      <c r="AS161" s="51"/>
      <c r="AT161" s="50"/>
      <c r="AU161" s="50"/>
      <c r="AV161" s="72"/>
      <c r="AW161" s="50"/>
      <c r="AX161" s="50"/>
    </row>
    <row r="162" spans="14:50" x14ac:dyDescent="0.3">
      <c r="N162" s="50"/>
      <c r="O162" s="50"/>
      <c r="P162" s="50"/>
      <c r="Q162" s="50"/>
      <c r="R162" s="50"/>
      <c r="S162" s="51"/>
      <c r="T162" s="50"/>
      <c r="U162" s="50"/>
      <c r="V162" s="72"/>
      <c r="W162" s="50"/>
      <c r="X162" s="50"/>
      <c r="Y162" s="37"/>
      <c r="Z162" s="37"/>
      <c r="AA162" s="37"/>
      <c r="AB162" s="37"/>
      <c r="AC162" s="72"/>
      <c r="AD162" s="37"/>
      <c r="AN162" s="50"/>
      <c r="AO162" s="50"/>
      <c r="AP162" s="50"/>
      <c r="AQ162" s="50"/>
      <c r="AR162" s="50"/>
      <c r="AS162" s="51"/>
      <c r="AT162" s="50"/>
      <c r="AU162" s="50"/>
      <c r="AV162" s="72"/>
      <c r="AW162" s="50"/>
      <c r="AX162" s="50"/>
    </row>
    <row r="163" spans="14:50" x14ac:dyDescent="0.3">
      <c r="N163" s="50"/>
      <c r="O163" s="50"/>
      <c r="P163" s="50"/>
      <c r="Q163" s="50"/>
      <c r="R163" s="50"/>
      <c r="S163" s="51"/>
      <c r="T163" s="50"/>
      <c r="U163" s="50"/>
      <c r="V163" s="72"/>
      <c r="W163" s="50"/>
      <c r="X163" s="50"/>
      <c r="Y163" s="37"/>
      <c r="Z163" s="37"/>
      <c r="AA163" s="37"/>
      <c r="AB163" s="37"/>
      <c r="AC163" s="72"/>
      <c r="AD163" s="37"/>
      <c r="AN163" s="50"/>
      <c r="AO163" s="50"/>
      <c r="AP163" s="50"/>
      <c r="AQ163" s="50"/>
      <c r="AR163" s="50"/>
      <c r="AS163" s="51"/>
      <c r="AT163" s="50"/>
      <c r="AU163" s="50"/>
      <c r="AV163" s="72"/>
      <c r="AW163" s="50"/>
      <c r="AX163" s="50"/>
    </row>
    <row r="164" spans="14:50" x14ac:dyDescent="0.3">
      <c r="N164" s="50"/>
      <c r="O164" s="50"/>
      <c r="P164" s="50"/>
      <c r="Q164" s="50"/>
      <c r="R164" s="50"/>
      <c r="S164" s="51"/>
      <c r="T164" s="50"/>
      <c r="U164" s="50"/>
      <c r="V164" s="72"/>
      <c r="W164" s="50"/>
      <c r="X164" s="50"/>
      <c r="Y164" s="37"/>
      <c r="Z164" s="37"/>
      <c r="AA164" s="37"/>
      <c r="AB164" s="37"/>
      <c r="AC164" s="72"/>
      <c r="AD164" s="37"/>
      <c r="AN164" s="50"/>
      <c r="AO164" s="50"/>
      <c r="AP164" s="50"/>
      <c r="AQ164" s="50"/>
      <c r="AR164" s="50"/>
      <c r="AS164" s="51"/>
      <c r="AT164" s="50"/>
      <c r="AU164" s="50"/>
      <c r="AV164" s="72"/>
      <c r="AW164" s="50"/>
      <c r="AX164" s="50"/>
    </row>
    <row r="165" spans="14:50" x14ac:dyDescent="0.3">
      <c r="N165" s="50"/>
      <c r="O165" s="50"/>
      <c r="P165" s="50"/>
      <c r="Q165" s="50"/>
      <c r="R165" s="50"/>
      <c r="S165" s="51"/>
      <c r="T165" s="50"/>
      <c r="U165" s="50"/>
      <c r="V165" s="72"/>
      <c r="W165" s="50"/>
      <c r="X165" s="50"/>
      <c r="Y165" s="37"/>
      <c r="Z165" s="37"/>
      <c r="AA165" s="37"/>
      <c r="AB165" s="37"/>
      <c r="AC165" s="72"/>
      <c r="AD165" s="37"/>
      <c r="AN165" s="50"/>
      <c r="AO165" s="50"/>
      <c r="AP165" s="50"/>
      <c r="AQ165" s="50"/>
      <c r="AR165" s="50"/>
      <c r="AS165" s="51"/>
      <c r="AT165" s="50"/>
      <c r="AU165" s="50"/>
      <c r="AV165" s="72"/>
      <c r="AW165" s="50"/>
      <c r="AX165" s="50"/>
    </row>
    <row r="166" spans="14:50" x14ac:dyDescent="0.3">
      <c r="N166" s="50"/>
      <c r="O166" s="50"/>
      <c r="P166" s="50"/>
      <c r="Q166" s="50"/>
      <c r="R166" s="50"/>
      <c r="S166" s="51"/>
      <c r="T166" s="50"/>
      <c r="U166" s="50"/>
      <c r="V166" s="72"/>
      <c r="W166" s="50"/>
      <c r="X166" s="50"/>
      <c r="Y166" s="37"/>
      <c r="Z166" s="37"/>
      <c r="AA166" s="37"/>
      <c r="AB166" s="37"/>
      <c r="AC166" s="72"/>
      <c r="AD166" s="37"/>
      <c r="AN166" s="50"/>
      <c r="AO166" s="50"/>
      <c r="AP166" s="50"/>
      <c r="AQ166" s="50"/>
      <c r="AR166" s="50"/>
      <c r="AS166" s="51"/>
      <c r="AT166" s="50"/>
      <c r="AU166" s="50"/>
      <c r="AV166" s="72"/>
      <c r="AW166" s="50"/>
      <c r="AX166" s="50"/>
    </row>
    <row r="167" spans="14:50" x14ac:dyDescent="0.3">
      <c r="N167" s="50"/>
      <c r="O167" s="50"/>
      <c r="P167" s="50"/>
      <c r="Q167" s="50"/>
      <c r="R167" s="50"/>
      <c r="S167" s="51"/>
      <c r="T167" s="50"/>
      <c r="U167" s="50"/>
      <c r="V167" s="72"/>
      <c r="W167" s="50"/>
      <c r="X167" s="50"/>
      <c r="Y167" s="37"/>
      <c r="Z167" s="37"/>
      <c r="AA167" s="37"/>
      <c r="AB167" s="37"/>
      <c r="AC167" s="72"/>
      <c r="AD167" s="37"/>
      <c r="AN167" s="50"/>
      <c r="AO167" s="50"/>
      <c r="AP167" s="50"/>
      <c r="AQ167" s="50"/>
      <c r="AR167" s="50"/>
      <c r="AS167" s="51"/>
      <c r="AT167" s="50"/>
      <c r="AU167" s="50"/>
      <c r="AV167" s="72"/>
      <c r="AW167" s="50"/>
      <c r="AX167" s="50"/>
    </row>
    <row r="168" spans="14:50" x14ac:dyDescent="0.3">
      <c r="N168" s="50"/>
      <c r="O168" s="50"/>
      <c r="P168" s="50"/>
      <c r="Q168" s="50"/>
      <c r="R168" s="50"/>
      <c r="S168" s="51"/>
      <c r="T168" s="50"/>
      <c r="U168" s="50"/>
      <c r="V168" s="72"/>
      <c r="W168" s="50"/>
      <c r="X168" s="50"/>
      <c r="Y168" s="37"/>
      <c r="Z168" s="37"/>
      <c r="AA168" s="37"/>
      <c r="AB168" s="37"/>
      <c r="AC168" s="72"/>
      <c r="AD168" s="37"/>
      <c r="AN168" s="50"/>
      <c r="AO168" s="50"/>
      <c r="AP168" s="50"/>
      <c r="AQ168" s="50"/>
      <c r="AR168" s="50"/>
      <c r="AS168" s="51"/>
      <c r="AT168" s="50"/>
      <c r="AU168" s="50"/>
      <c r="AV168" s="72"/>
      <c r="AW168" s="50"/>
      <c r="AX168" s="50"/>
    </row>
    <row r="169" spans="14:50" x14ac:dyDescent="0.3">
      <c r="N169" s="50"/>
      <c r="O169" s="50"/>
      <c r="P169" s="50"/>
      <c r="Q169" s="50"/>
      <c r="R169" s="50"/>
      <c r="S169" s="51"/>
      <c r="T169" s="50"/>
      <c r="U169" s="50"/>
      <c r="V169" s="72"/>
      <c r="W169" s="50"/>
      <c r="X169" s="50"/>
      <c r="Y169" s="37"/>
      <c r="Z169" s="37"/>
      <c r="AA169" s="37"/>
      <c r="AB169" s="37"/>
      <c r="AC169" s="72"/>
      <c r="AD169" s="37"/>
      <c r="AN169" s="50"/>
      <c r="AO169" s="50"/>
      <c r="AP169" s="50"/>
      <c r="AQ169" s="50"/>
      <c r="AR169" s="50"/>
      <c r="AS169" s="51"/>
      <c r="AT169" s="50"/>
      <c r="AU169" s="50"/>
      <c r="AV169" s="72"/>
      <c r="AW169" s="50"/>
      <c r="AX169" s="50"/>
    </row>
    <row r="170" spans="14:50" x14ac:dyDescent="0.3">
      <c r="N170" s="50"/>
      <c r="O170" s="50"/>
      <c r="P170" s="50"/>
      <c r="Q170" s="50"/>
      <c r="R170" s="50"/>
      <c r="S170" s="51"/>
      <c r="T170" s="50"/>
      <c r="U170" s="50"/>
      <c r="V170" s="72"/>
      <c r="W170" s="50"/>
      <c r="X170" s="50"/>
      <c r="Y170" s="37"/>
      <c r="Z170" s="37"/>
      <c r="AA170" s="37"/>
      <c r="AB170" s="37"/>
      <c r="AC170" s="72"/>
      <c r="AD170" s="37"/>
      <c r="AN170" s="50"/>
      <c r="AO170" s="50"/>
      <c r="AP170" s="50"/>
      <c r="AQ170" s="50"/>
      <c r="AR170" s="50"/>
      <c r="AS170" s="51"/>
      <c r="AT170" s="50"/>
      <c r="AU170" s="50"/>
      <c r="AV170" s="72"/>
      <c r="AW170" s="50"/>
      <c r="AX170" s="50"/>
    </row>
    <row r="171" spans="14:50" x14ac:dyDescent="0.3">
      <c r="N171" s="50"/>
      <c r="O171" s="50"/>
      <c r="P171" s="50"/>
      <c r="Q171" s="50"/>
      <c r="R171" s="50"/>
      <c r="S171" s="51"/>
      <c r="T171" s="50"/>
      <c r="U171" s="50"/>
      <c r="V171" s="72"/>
      <c r="W171" s="50"/>
      <c r="X171" s="50"/>
      <c r="Y171" s="37"/>
      <c r="Z171" s="37"/>
      <c r="AA171" s="37"/>
      <c r="AB171" s="37"/>
      <c r="AC171" s="72"/>
      <c r="AD171" s="37"/>
      <c r="AN171" s="50"/>
      <c r="AO171" s="50"/>
      <c r="AP171" s="50"/>
      <c r="AQ171" s="50"/>
      <c r="AR171" s="50"/>
      <c r="AS171" s="51"/>
      <c r="AT171" s="50"/>
      <c r="AU171" s="50"/>
      <c r="AV171" s="72"/>
      <c r="AW171" s="50"/>
      <c r="AX171" s="50"/>
    </row>
    <row r="172" spans="14:50" x14ac:dyDescent="0.3">
      <c r="N172" s="50"/>
      <c r="O172" s="50"/>
      <c r="P172" s="50"/>
      <c r="Q172" s="50"/>
      <c r="R172" s="50"/>
      <c r="S172" s="51"/>
      <c r="T172" s="50"/>
      <c r="U172" s="50"/>
      <c r="V172" s="72"/>
      <c r="W172" s="50"/>
      <c r="X172" s="50"/>
      <c r="Y172" s="37"/>
      <c r="Z172" s="37"/>
      <c r="AA172" s="37"/>
      <c r="AB172" s="37"/>
      <c r="AC172" s="72"/>
      <c r="AD172" s="37"/>
      <c r="AN172" s="50"/>
      <c r="AO172" s="50"/>
      <c r="AP172" s="50"/>
      <c r="AQ172" s="50"/>
      <c r="AR172" s="50"/>
      <c r="AS172" s="51"/>
      <c r="AT172" s="50"/>
      <c r="AU172" s="50"/>
      <c r="AV172" s="72"/>
      <c r="AW172" s="50"/>
      <c r="AX172" s="50"/>
    </row>
    <row r="173" spans="14:50" x14ac:dyDescent="0.3">
      <c r="N173" s="50"/>
      <c r="O173" s="50"/>
      <c r="P173" s="50"/>
      <c r="Q173" s="50"/>
      <c r="R173" s="50"/>
      <c r="S173" s="51"/>
      <c r="T173" s="50"/>
      <c r="U173" s="50"/>
      <c r="V173" s="72"/>
      <c r="W173" s="50"/>
      <c r="X173" s="50"/>
      <c r="Y173" s="37"/>
      <c r="Z173" s="37"/>
      <c r="AA173" s="37"/>
      <c r="AB173" s="37"/>
      <c r="AC173" s="72"/>
      <c r="AD173" s="37"/>
      <c r="AN173" s="50"/>
      <c r="AO173" s="50"/>
      <c r="AP173" s="50"/>
      <c r="AQ173" s="50"/>
      <c r="AR173" s="50"/>
      <c r="AS173" s="51"/>
      <c r="AT173" s="50"/>
      <c r="AU173" s="50"/>
      <c r="AV173" s="72"/>
      <c r="AW173" s="50"/>
      <c r="AX173" s="50"/>
    </row>
    <row r="174" spans="14:50" x14ac:dyDescent="0.3">
      <c r="N174" s="50"/>
      <c r="O174" s="50"/>
      <c r="P174" s="50"/>
      <c r="Q174" s="50"/>
      <c r="R174" s="50"/>
      <c r="S174" s="51"/>
      <c r="T174" s="50"/>
      <c r="U174" s="50"/>
      <c r="V174" s="72"/>
      <c r="W174" s="50"/>
      <c r="X174" s="50"/>
      <c r="Y174" s="37"/>
      <c r="Z174" s="37"/>
      <c r="AA174" s="37"/>
      <c r="AB174" s="37"/>
      <c r="AC174" s="72"/>
      <c r="AD174" s="37"/>
      <c r="AN174" s="50"/>
      <c r="AO174" s="50"/>
      <c r="AP174" s="50"/>
      <c r="AQ174" s="50"/>
      <c r="AR174" s="50"/>
      <c r="AS174" s="51"/>
      <c r="AT174" s="50"/>
      <c r="AU174" s="50"/>
      <c r="AV174" s="72"/>
      <c r="AW174" s="50"/>
      <c r="AX174" s="50"/>
    </row>
    <row r="175" spans="14:50" x14ac:dyDescent="0.3">
      <c r="N175" s="50"/>
      <c r="O175" s="50"/>
      <c r="P175" s="50"/>
      <c r="Q175" s="50"/>
      <c r="R175" s="50"/>
      <c r="S175" s="51"/>
      <c r="T175" s="50"/>
      <c r="U175" s="50"/>
      <c r="V175" s="72"/>
      <c r="W175" s="50"/>
      <c r="X175" s="50"/>
      <c r="Y175" s="37"/>
      <c r="Z175" s="37"/>
      <c r="AA175" s="37"/>
      <c r="AB175" s="37"/>
      <c r="AC175" s="72"/>
      <c r="AD175" s="37"/>
      <c r="AN175" s="50"/>
      <c r="AO175" s="50"/>
      <c r="AP175" s="50"/>
      <c r="AQ175" s="50"/>
      <c r="AR175" s="50"/>
      <c r="AS175" s="51"/>
      <c r="AT175" s="50"/>
      <c r="AU175" s="50"/>
      <c r="AV175" s="72"/>
      <c r="AW175" s="50"/>
      <c r="AX175" s="50"/>
    </row>
    <row r="176" spans="14:50" x14ac:dyDescent="0.3">
      <c r="N176" s="50"/>
      <c r="O176" s="50"/>
      <c r="P176" s="50"/>
      <c r="Q176" s="50"/>
      <c r="R176" s="50"/>
      <c r="S176" s="51"/>
      <c r="T176" s="50"/>
      <c r="U176" s="50"/>
      <c r="V176" s="72"/>
      <c r="W176" s="50"/>
      <c r="X176" s="50"/>
      <c r="Y176" s="37"/>
      <c r="Z176" s="37"/>
      <c r="AA176" s="37"/>
      <c r="AB176" s="37"/>
      <c r="AC176" s="72"/>
      <c r="AD176" s="37"/>
      <c r="AN176" s="50"/>
      <c r="AO176" s="50"/>
      <c r="AP176" s="50"/>
      <c r="AQ176" s="50"/>
      <c r="AR176" s="50"/>
      <c r="AS176" s="51"/>
      <c r="AT176" s="50"/>
      <c r="AU176" s="50"/>
      <c r="AV176" s="72"/>
      <c r="AW176" s="50"/>
      <c r="AX176" s="50"/>
    </row>
    <row r="177" spans="14:50" x14ac:dyDescent="0.3">
      <c r="N177" s="50"/>
      <c r="O177" s="50"/>
      <c r="P177" s="50"/>
      <c r="Q177" s="50"/>
      <c r="R177" s="50"/>
      <c r="S177" s="51"/>
      <c r="T177" s="50"/>
      <c r="U177" s="50"/>
      <c r="V177" s="72"/>
      <c r="W177" s="50"/>
      <c r="X177" s="50"/>
      <c r="Y177" s="37"/>
      <c r="Z177" s="37"/>
      <c r="AA177" s="37"/>
      <c r="AB177" s="37"/>
      <c r="AC177" s="72"/>
      <c r="AD177" s="37"/>
      <c r="AN177" s="50"/>
      <c r="AO177" s="50"/>
      <c r="AP177" s="50"/>
      <c r="AQ177" s="50"/>
      <c r="AR177" s="50"/>
      <c r="AS177" s="51"/>
      <c r="AT177" s="50"/>
      <c r="AU177" s="50"/>
      <c r="AV177" s="72"/>
      <c r="AW177" s="50"/>
      <c r="AX177" s="50"/>
    </row>
    <row r="178" spans="14:50" x14ac:dyDescent="0.3">
      <c r="N178" s="50"/>
      <c r="O178" s="50"/>
      <c r="P178" s="50"/>
      <c r="Q178" s="50"/>
      <c r="R178" s="50"/>
      <c r="S178" s="51"/>
      <c r="T178" s="50"/>
      <c r="U178" s="50"/>
      <c r="V178" s="72"/>
      <c r="W178" s="50"/>
      <c r="X178" s="50"/>
      <c r="Y178" s="37"/>
      <c r="Z178" s="37"/>
      <c r="AA178" s="37"/>
      <c r="AB178" s="37"/>
      <c r="AC178" s="72"/>
      <c r="AD178" s="37"/>
      <c r="AN178" s="50"/>
      <c r="AO178" s="50"/>
      <c r="AP178" s="50"/>
      <c r="AQ178" s="50"/>
      <c r="AR178" s="50"/>
      <c r="AS178" s="51"/>
      <c r="AT178" s="50"/>
      <c r="AU178" s="50"/>
      <c r="AV178" s="72"/>
      <c r="AW178" s="50"/>
      <c r="AX178" s="50"/>
    </row>
    <row r="179" spans="14:50" x14ac:dyDescent="0.3">
      <c r="N179" s="50"/>
      <c r="O179" s="50"/>
      <c r="P179" s="50"/>
      <c r="Q179" s="50"/>
      <c r="R179" s="50"/>
      <c r="S179" s="51"/>
      <c r="T179" s="50"/>
      <c r="U179" s="50"/>
      <c r="V179" s="72"/>
      <c r="W179" s="50"/>
      <c r="X179" s="50"/>
      <c r="Y179" s="37"/>
      <c r="Z179" s="37"/>
      <c r="AA179" s="37"/>
      <c r="AB179" s="37"/>
      <c r="AC179" s="72"/>
      <c r="AD179" s="37"/>
      <c r="AN179" s="50"/>
      <c r="AO179" s="50"/>
      <c r="AP179" s="50"/>
      <c r="AQ179" s="50"/>
      <c r="AR179" s="50"/>
      <c r="AS179" s="51"/>
      <c r="AT179" s="50"/>
      <c r="AU179" s="50"/>
      <c r="AV179" s="72"/>
      <c r="AW179" s="50"/>
      <c r="AX179" s="50"/>
    </row>
    <row r="180" spans="14:50" x14ac:dyDescent="0.3">
      <c r="N180" s="50"/>
      <c r="O180" s="50"/>
      <c r="P180" s="50"/>
      <c r="Q180" s="50"/>
      <c r="R180" s="50"/>
      <c r="S180" s="51"/>
      <c r="T180" s="50"/>
      <c r="U180" s="50"/>
      <c r="V180" s="72"/>
      <c r="W180" s="50"/>
      <c r="X180" s="50"/>
      <c r="Y180" s="37"/>
      <c r="Z180" s="37"/>
      <c r="AA180" s="37"/>
      <c r="AB180" s="37"/>
      <c r="AC180" s="72"/>
      <c r="AD180" s="37"/>
      <c r="AN180" s="50"/>
      <c r="AO180" s="50"/>
      <c r="AP180" s="50"/>
      <c r="AQ180" s="50"/>
      <c r="AR180" s="50"/>
      <c r="AS180" s="51"/>
      <c r="AT180" s="50"/>
      <c r="AU180" s="50"/>
      <c r="AV180" s="72"/>
      <c r="AW180" s="50"/>
      <c r="AX180" s="50"/>
    </row>
    <row r="181" spans="14:50" x14ac:dyDescent="0.3">
      <c r="N181" s="50"/>
      <c r="O181" s="50"/>
      <c r="P181" s="50"/>
      <c r="Q181" s="50"/>
      <c r="R181" s="50"/>
      <c r="S181" s="51"/>
      <c r="T181" s="50"/>
      <c r="U181" s="50"/>
      <c r="V181" s="72"/>
      <c r="W181" s="50"/>
      <c r="X181" s="50"/>
      <c r="Y181" s="37"/>
      <c r="Z181" s="37"/>
      <c r="AA181" s="37"/>
      <c r="AB181" s="37"/>
      <c r="AC181" s="72"/>
      <c r="AD181" s="37"/>
      <c r="AN181" s="50"/>
      <c r="AO181" s="50"/>
      <c r="AP181" s="50"/>
      <c r="AQ181" s="50"/>
      <c r="AR181" s="50"/>
      <c r="AS181" s="51"/>
      <c r="AT181" s="50"/>
      <c r="AU181" s="50"/>
      <c r="AV181" s="72"/>
      <c r="AW181" s="50"/>
      <c r="AX181" s="50"/>
    </row>
    <row r="182" spans="14:50" x14ac:dyDescent="0.3">
      <c r="N182" s="50"/>
      <c r="O182" s="50"/>
      <c r="P182" s="50"/>
      <c r="Q182" s="50"/>
      <c r="R182" s="50"/>
      <c r="S182" s="51"/>
      <c r="T182" s="50"/>
      <c r="U182" s="50"/>
      <c r="V182" s="72"/>
      <c r="W182" s="50"/>
      <c r="X182" s="50"/>
      <c r="Y182" s="37"/>
      <c r="Z182" s="37"/>
      <c r="AA182" s="37"/>
      <c r="AB182" s="37"/>
      <c r="AC182" s="72"/>
      <c r="AD182" s="37"/>
      <c r="AN182" s="50"/>
      <c r="AO182" s="50"/>
      <c r="AP182" s="50"/>
      <c r="AQ182" s="50"/>
      <c r="AR182" s="50"/>
      <c r="AS182" s="51"/>
      <c r="AT182" s="50"/>
      <c r="AU182" s="50"/>
      <c r="AV182" s="72"/>
      <c r="AW182" s="50"/>
      <c r="AX182" s="50"/>
    </row>
    <row r="183" spans="14:50" x14ac:dyDescent="0.3">
      <c r="N183" s="50"/>
      <c r="O183" s="50"/>
      <c r="P183" s="50"/>
      <c r="Q183" s="50"/>
      <c r="R183" s="50"/>
      <c r="S183" s="51"/>
      <c r="T183" s="50"/>
      <c r="U183" s="50"/>
      <c r="V183" s="72"/>
      <c r="W183" s="50"/>
      <c r="X183" s="50"/>
      <c r="Y183" s="37"/>
      <c r="Z183" s="37"/>
      <c r="AA183" s="37"/>
      <c r="AB183" s="37"/>
      <c r="AC183" s="72"/>
      <c r="AD183" s="37"/>
      <c r="AN183" s="50"/>
      <c r="AO183" s="50"/>
      <c r="AP183" s="50"/>
      <c r="AQ183" s="50"/>
      <c r="AR183" s="50"/>
      <c r="AS183" s="51"/>
      <c r="AT183" s="50"/>
      <c r="AU183" s="50"/>
      <c r="AV183" s="72"/>
      <c r="AW183" s="50"/>
      <c r="AX183" s="50"/>
    </row>
    <row r="184" spans="14:50" x14ac:dyDescent="0.3">
      <c r="N184" s="50"/>
      <c r="O184" s="50"/>
      <c r="P184" s="50"/>
      <c r="Q184" s="50"/>
      <c r="R184" s="50"/>
      <c r="S184" s="51"/>
      <c r="T184" s="50"/>
      <c r="U184" s="50"/>
      <c r="V184" s="72"/>
      <c r="W184" s="50"/>
      <c r="X184" s="50"/>
      <c r="Y184" s="37"/>
      <c r="Z184" s="37"/>
      <c r="AA184" s="37"/>
      <c r="AB184" s="37"/>
      <c r="AC184" s="72"/>
      <c r="AD184" s="37"/>
      <c r="AN184" s="50"/>
      <c r="AO184" s="50"/>
      <c r="AP184" s="50"/>
      <c r="AQ184" s="50"/>
      <c r="AR184" s="50"/>
      <c r="AS184" s="51"/>
      <c r="AT184" s="50"/>
      <c r="AU184" s="50"/>
      <c r="AV184" s="72"/>
      <c r="AW184" s="50"/>
      <c r="AX184" s="50"/>
    </row>
    <row r="185" spans="14:50" x14ac:dyDescent="0.3">
      <c r="N185" s="50"/>
      <c r="O185" s="50"/>
      <c r="P185" s="50"/>
      <c r="Q185" s="50"/>
      <c r="R185" s="50"/>
      <c r="S185" s="51"/>
      <c r="T185" s="50"/>
      <c r="U185" s="50"/>
      <c r="V185" s="72"/>
      <c r="W185" s="50"/>
      <c r="X185" s="50"/>
      <c r="Y185" s="37"/>
      <c r="Z185" s="37"/>
      <c r="AA185" s="37"/>
      <c r="AB185" s="37"/>
      <c r="AC185" s="72"/>
      <c r="AD185" s="37"/>
      <c r="AN185" s="50"/>
      <c r="AO185" s="50"/>
      <c r="AP185" s="50"/>
      <c r="AQ185" s="50"/>
      <c r="AR185" s="50"/>
      <c r="AS185" s="51"/>
      <c r="AT185" s="50"/>
      <c r="AU185" s="50"/>
      <c r="AV185" s="72"/>
      <c r="AW185" s="50"/>
      <c r="AX185" s="50"/>
    </row>
    <row r="186" spans="14:50" x14ac:dyDescent="0.3">
      <c r="N186" s="50"/>
      <c r="O186" s="50"/>
      <c r="P186" s="50"/>
      <c r="Q186" s="50"/>
      <c r="R186" s="50"/>
      <c r="S186" s="51"/>
      <c r="T186" s="50"/>
      <c r="U186" s="50"/>
      <c r="V186" s="72"/>
      <c r="W186" s="50"/>
      <c r="X186" s="50"/>
      <c r="Y186" s="37"/>
      <c r="Z186" s="37"/>
      <c r="AA186" s="37"/>
      <c r="AB186" s="37"/>
      <c r="AC186" s="72"/>
      <c r="AD186" s="37"/>
      <c r="AN186" s="50"/>
      <c r="AO186" s="50"/>
      <c r="AP186" s="50"/>
      <c r="AQ186" s="50"/>
      <c r="AR186" s="50"/>
      <c r="AS186" s="51"/>
      <c r="AT186" s="50"/>
      <c r="AU186" s="50"/>
      <c r="AV186" s="72"/>
      <c r="AW186" s="50"/>
      <c r="AX186" s="50"/>
    </row>
    <row r="187" spans="14:50" x14ac:dyDescent="0.3">
      <c r="N187" s="50"/>
      <c r="O187" s="50"/>
      <c r="P187" s="50"/>
      <c r="Q187" s="50"/>
      <c r="R187" s="50"/>
      <c r="S187" s="51"/>
      <c r="T187" s="50"/>
      <c r="U187" s="50"/>
      <c r="V187" s="72"/>
      <c r="W187" s="50"/>
      <c r="X187" s="50"/>
      <c r="Y187" s="37"/>
      <c r="Z187" s="37"/>
      <c r="AA187" s="37"/>
      <c r="AB187" s="37"/>
      <c r="AC187" s="72"/>
      <c r="AD187" s="37"/>
      <c r="AN187" s="50"/>
      <c r="AO187" s="50"/>
      <c r="AP187" s="50"/>
      <c r="AQ187" s="50"/>
      <c r="AR187" s="50"/>
      <c r="AS187" s="51"/>
      <c r="AT187" s="50"/>
      <c r="AU187" s="50"/>
      <c r="AV187" s="72"/>
      <c r="AW187" s="50"/>
      <c r="AX187" s="50"/>
    </row>
    <row r="188" spans="14:50" x14ac:dyDescent="0.3">
      <c r="N188" s="50"/>
      <c r="O188" s="50"/>
      <c r="P188" s="50"/>
      <c r="Q188" s="50"/>
      <c r="R188" s="50"/>
      <c r="S188" s="51"/>
      <c r="T188" s="50"/>
      <c r="U188" s="50"/>
      <c r="V188" s="72"/>
      <c r="W188" s="50"/>
      <c r="X188" s="50"/>
      <c r="Y188" s="37"/>
      <c r="Z188" s="37"/>
      <c r="AA188" s="37"/>
      <c r="AB188" s="37"/>
      <c r="AC188" s="72"/>
      <c r="AD188" s="37"/>
      <c r="AN188" s="50"/>
      <c r="AO188" s="50"/>
      <c r="AP188" s="50"/>
      <c r="AQ188" s="50"/>
      <c r="AR188" s="50"/>
      <c r="AS188" s="51"/>
      <c r="AT188" s="50"/>
      <c r="AU188" s="50"/>
      <c r="AV188" s="72"/>
      <c r="AW188" s="50"/>
      <c r="AX188" s="50"/>
    </row>
    <row r="189" spans="14:50" x14ac:dyDescent="0.3">
      <c r="N189" s="50"/>
      <c r="O189" s="50"/>
      <c r="P189" s="50"/>
      <c r="Q189" s="50"/>
      <c r="R189" s="50"/>
      <c r="S189" s="51"/>
      <c r="T189" s="50"/>
      <c r="U189" s="50"/>
      <c r="V189" s="72"/>
      <c r="W189" s="50"/>
      <c r="X189" s="50"/>
      <c r="Y189" s="37"/>
      <c r="Z189" s="37"/>
      <c r="AA189" s="37"/>
      <c r="AB189" s="37"/>
      <c r="AC189" s="72"/>
      <c r="AD189" s="37"/>
      <c r="AN189" s="50"/>
      <c r="AO189" s="50"/>
      <c r="AP189" s="50"/>
      <c r="AQ189" s="50"/>
      <c r="AR189" s="50"/>
      <c r="AS189" s="51"/>
      <c r="AT189" s="50"/>
      <c r="AU189" s="50"/>
      <c r="AV189" s="72"/>
      <c r="AW189" s="50"/>
      <c r="AX189" s="50"/>
    </row>
    <row r="190" spans="14:50" x14ac:dyDescent="0.3">
      <c r="N190" s="50"/>
      <c r="O190" s="50"/>
      <c r="P190" s="50"/>
      <c r="Q190" s="50"/>
      <c r="R190" s="50"/>
      <c r="S190" s="51"/>
      <c r="T190" s="50"/>
      <c r="U190" s="50"/>
      <c r="V190" s="72"/>
      <c r="W190" s="50"/>
      <c r="X190" s="50"/>
      <c r="Y190" s="37"/>
      <c r="Z190" s="37"/>
      <c r="AA190" s="37"/>
      <c r="AB190" s="37"/>
      <c r="AC190" s="72"/>
      <c r="AD190" s="37"/>
      <c r="AN190" s="50"/>
      <c r="AO190" s="50"/>
      <c r="AP190" s="50"/>
      <c r="AQ190" s="50"/>
      <c r="AR190" s="50"/>
      <c r="AS190" s="51"/>
      <c r="AT190" s="50"/>
      <c r="AU190" s="50"/>
      <c r="AV190" s="72"/>
      <c r="AW190" s="50"/>
      <c r="AX190" s="50"/>
    </row>
    <row r="191" spans="14:50" x14ac:dyDescent="0.3">
      <c r="N191" s="50"/>
      <c r="O191" s="50"/>
      <c r="P191" s="50"/>
      <c r="Q191" s="50"/>
      <c r="R191" s="50"/>
      <c r="S191" s="51"/>
      <c r="T191" s="50"/>
      <c r="U191" s="50"/>
      <c r="V191" s="72"/>
      <c r="W191" s="50"/>
      <c r="X191" s="50"/>
      <c r="Y191" s="37"/>
      <c r="Z191" s="37"/>
      <c r="AA191" s="37"/>
      <c r="AB191" s="37"/>
      <c r="AC191" s="72"/>
      <c r="AD191" s="37"/>
      <c r="AN191" s="50"/>
      <c r="AO191" s="50"/>
      <c r="AP191" s="50"/>
      <c r="AQ191" s="50"/>
      <c r="AR191" s="50"/>
      <c r="AS191" s="51"/>
      <c r="AT191" s="50"/>
      <c r="AU191" s="50"/>
      <c r="AV191" s="72"/>
      <c r="AW191" s="50"/>
      <c r="AX191" s="50"/>
    </row>
    <row r="192" spans="14:50" x14ac:dyDescent="0.3">
      <c r="N192" s="50"/>
      <c r="O192" s="50"/>
      <c r="P192" s="50"/>
      <c r="Q192" s="50"/>
      <c r="R192" s="50"/>
      <c r="S192" s="51"/>
      <c r="T192" s="50"/>
      <c r="U192" s="50"/>
      <c r="V192" s="72"/>
      <c r="W192" s="50"/>
      <c r="X192" s="50"/>
      <c r="Y192" s="37"/>
      <c r="Z192" s="37"/>
      <c r="AA192" s="37"/>
      <c r="AB192" s="37"/>
      <c r="AC192" s="72"/>
      <c r="AD192" s="37"/>
      <c r="AN192" s="50"/>
      <c r="AO192" s="50"/>
      <c r="AP192" s="50"/>
      <c r="AQ192" s="50"/>
      <c r="AR192" s="50"/>
      <c r="AS192" s="51"/>
      <c r="AT192" s="50"/>
      <c r="AU192" s="50"/>
      <c r="AV192" s="72"/>
      <c r="AW192" s="50"/>
      <c r="AX192" s="50"/>
    </row>
    <row r="193" spans="14:50" x14ac:dyDescent="0.3">
      <c r="N193" s="50"/>
      <c r="O193" s="50"/>
      <c r="P193" s="50"/>
      <c r="Q193" s="50"/>
      <c r="R193" s="50"/>
      <c r="S193" s="51"/>
      <c r="T193" s="50"/>
      <c r="U193" s="50"/>
      <c r="V193" s="72"/>
      <c r="W193" s="50"/>
      <c r="X193" s="50"/>
      <c r="Y193" s="37"/>
      <c r="Z193" s="37"/>
      <c r="AA193" s="37"/>
      <c r="AB193" s="37"/>
      <c r="AC193" s="72"/>
      <c r="AD193" s="37"/>
      <c r="AN193" s="50"/>
      <c r="AO193" s="50"/>
      <c r="AP193" s="50"/>
      <c r="AQ193" s="50"/>
      <c r="AR193" s="50"/>
      <c r="AS193" s="51"/>
      <c r="AT193" s="50"/>
      <c r="AU193" s="50"/>
      <c r="AV193" s="72"/>
      <c r="AW193" s="50"/>
      <c r="AX193" s="50"/>
    </row>
    <row r="194" spans="14:50" x14ac:dyDescent="0.3">
      <c r="N194" s="50"/>
      <c r="O194" s="50"/>
      <c r="P194" s="50"/>
      <c r="Q194" s="50"/>
      <c r="R194" s="50"/>
      <c r="S194" s="51"/>
      <c r="T194" s="50"/>
      <c r="U194" s="50"/>
      <c r="V194" s="72"/>
      <c r="W194" s="50"/>
      <c r="X194" s="50"/>
      <c r="Y194" s="37"/>
      <c r="Z194" s="37"/>
      <c r="AA194" s="37"/>
      <c r="AB194" s="37"/>
      <c r="AC194" s="72"/>
      <c r="AD194" s="37"/>
      <c r="AN194" s="50"/>
      <c r="AO194" s="50"/>
      <c r="AP194" s="50"/>
      <c r="AQ194" s="50"/>
      <c r="AR194" s="50"/>
      <c r="AS194" s="51"/>
      <c r="AT194" s="50"/>
      <c r="AU194" s="50"/>
      <c r="AV194" s="72"/>
      <c r="AW194" s="50"/>
      <c r="AX194" s="50"/>
    </row>
    <row r="195" spans="14:50" x14ac:dyDescent="0.3">
      <c r="N195" s="50"/>
      <c r="O195" s="50"/>
      <c r="P195" s="50"/>
      <c r="Q195" s="50"/>
      <c r="R195" s="50"/>
      <c r="S195" s="51"/>
      <c r="T195" s="50"/>
      <c r="U195" s="50"/>
      <c r="V195" s="72"/>
      <c r="W195" s="50"/>
      <c r="X195" s="50"/>
      <c r="Y195" s="37"/>
      <c r="Z195" s="37"/>
      <c r="AA195" s="37"/>
      <c r="AB195" s="37"/>
      <c r="AC195" s="72"/>
      <c r="AD195" s="37"/>
      <c r="AN195" s="50"/>
      <c r="AO195" s="50"/>
      <c r="AP195" s="50"/>
      <c r="AQ195" s="50"/>
      <c r="AR195" s="50"/>
      <c r="AS195" s="51"/>
      <c r="AT195" s="50"/>
      <c r="AU195" s="50"/>
      <c r="AV195" s="72"/>
      <c r="AW195" s="50"/>
      <c r="AX195" s="50"/>
    </row>
    <row r="196" spans="14:50" x14ac:dyDescent="0.3">
      <c r="N196" s="50"/>
      <c r="O196" s="50"/>
      <c r="P196" s="50"/>
      <c r="Q196" s="50"/>
      <c r="R196" s="50"/>
      <c r="S196" s="51"/>
      <c r="T196" s="50"/>
      <c r="U196" s="50"/>
      <c r="V196" s="72"/>
      <c r="W196" s="50"/>
      <c r="X196" s="50"/>
      <c r="Y196" s="37"/>
      <c r="Z196" s="37"/>
      <c r="AA196" s="37"/>
      <c r="AB196" s="37"/>
      <c r="AC196" s="72"/>
      <c r="AD196" s="37"/>
      <c r="AN196" s="50"/>
      <c r="AO196" s="50"/>
      <c r="AP196" s="50"/>
      <c r="AQ196" s="50"/>
      <c r="AR196" s="50"/>
      <c r="AS196" s="51"/>
      <c r="AT196" s="50"/>
      <c r="AU196" s="50"/>
      <c r="AV196" s="72"/>
      <c r="AW196" s="50"/>
      <c r="AX196" s="50"/>
    </row>
    <row r="197" spans="14:50" x14ac:dyDescent="0.3">
      <c r="N197" s="50"/>
      <c r="O197" s="50"/>
      <c r="P197" s="50"/>
      <c r="Q197" s="50"/>
      <c r="R197" s="50"/>
      <c r="S197" s="51"/>
      <c r="T197" s="50"/>
      <c r="U197" s="50"/>
      <c r="V197" s="72"/>
      <c r="W197" s="50"/>
      <c r="X197" s="50"/>
      <c r="Y197" s="37"/>
      <c r="Z197" s="37"/>
      <c r="AA197" s="37"/>
      <c r="AB197" s="37"/>
      <c r="AC197" s="72"/>
      <c r="AD197" s="37"/>
      <c r="AN197" s="50"/>
      <c r="AO197" s="50"/>
      <c r="AP197" s="50"/>
      <c r="AQ197" s="50"/>
      <c r="AR197" s="50"/>
      <c r="AS197" s="51"/>
      <c r="AT197" s="50"/>
      <c r="AU197" s="50"/>
      <c r="AV197" s="72"/>
      <c r="AW197" s="50"/>
      <c r="AX197" s="50"/>
    </row>
    <row r="198" spans="14:50" x14ac:dyDescent="0.3">
      <c r="N198" s="50"/>
      <c r="O198" s="50"/>
      <c r="P198" s="50"/>
      <c r="Q198" s="50"/>
      <c r="R198" s="50"/>
      <c r="S198" s="51"/>
      <c r="T198" s="50"/>
      <c r="U198" s="50"/>
      <c r="V198" s="72"/>
      <c r="W198" s="50"/>
      <c r="X198" s="50"/>
      <c r="Y198" s="37"/>
      <c r="Z198" s="37"/>
      <c r="AA198" s="37"/>
      <c r="AB198" s="37"/>
      <c r="AC198" s="72"/>
      <c r="AD198" s="37"/>
      <c r="AN198" s="50"/>
      <c r="AO198" s="50"/>
      <c r="AP198" s="50"/>
      <c r="AQ198" s="50"/>
      <c r="AR198" s="50"/>
      <c r="AS198" s="51"/>
      <c r="AT198" s="50"/>
      <c r="AU198" s="50"/>
      <c r="AV198" s="72"/>
      <c r="AW198" s="50"/>
      <c r="AX198" s="50"/>
    </row>
    <row r="199" spans="14:50" x14ac:dyDescent="0.3">
      <c r="N199" s="50"/>
      <c r="O199" s="50"/>
      <c r="P199" s="50"/>
      <c r="Q199" s="50"/>
      <c r="R199" s="50"/>
      <c r="S199" s="51"/>
      <c r="T199" s="50"/>
      <c r="U199" s="50"/>
      <c r="V199" s="72"/>
      <c r="W199" s="50"/>
      <c r="X199" s="50"/>
      <c r="Y199" s="37"/>
      <c r="Z199" s="37"/>
      <c r="AA199" s="37"/>
      <c r="AB199" s="37"/>
      <c r="AC199" s="72"/>
      <c r="AD199" s="37"/>
      <c r="AN199" s="50"/>
      <c r="AO199" s="50"/>
      <c r="AP199" s="50"/>
      <c r="AQ199" s="50"/>
      <c r="AR199" s="50"/>
      <c r="AS199" s="51"/>
      <c r="AT199" s="50"/>
      <c r="AU199" s="50"/>
      <c r="AV199" s="72"/>
      <c r="AW199" s="50"/>
      <c r="AX199" s="50"/>
    </row>
    <row r="200" spans="14:50" x14ac:dyDescent="0.3">
      <c r="N200" s="50"/>
      <c r="O200" s="50"/>
      <c r="P200" s="50"/>
      <c r="Q200" s="50"/>
      <c r="R200" s="50"/>
      <c r="S200" s="51"/>
      <c r="T200" s="50"/>
      <c r="U200" s="50"/>
      <c r="V200" s="72"/>
      <c r="W200" s="50"/>
      <c r="X200" s="50"/>
      <c r="Y200" s="37"/>
      <c r="Z200" s="37"/>
      <c r="AA200" s="37"/>
      <c r="AB200" s="37"/>
      <c r="AC200" s="72"/>
      <c r="AD200" s="37"/>
      <c r="AN200" s="50"/>
      <c r="AO200" s="50"/>
      <c r="AP200" s="50"/>
      <c r="AQ200" s="50"/>
      <c r="AR200" s="50"/>
      <c r="AS200" s="51"/>
      <c r="AT200" s="50"/>
      <c r="AU200" s="50"/>
      <c r="AV200" s="72"/>
      <c r="AW200" s="50"/>
      <c r="AX200" s="50"/>
    </row>
    <row r="201" spans="14:50" x14ac:dyDescent="0.3">
      <c r="N201" s="50"/>
      <c r="O201" s="50"/>
      <c r="P201" s="50"/>
      <c r="Q201" s="50"/>
      <c r="R201" s="50"/>
      <c r="S201" s="51"/>
      <c r="T201" s="50"/>
      <c r="U201" s="50"/>
      <c r="V201" s="72"/>
      <c r="W201" s="50"/>
      <c r="X201" s="50"/>
      <c r="Y201" s="37"/>
      <c r="Z201" s="37"/>
      <c r="AA201" s="37"/>
      <c r="AB201" s="37"/>
      <c r="AC201" s="72"/>
      <c r="AD201" s="37"/>
      <c r="AN201" s="50"/>
      <c r="AO201" s="50"/>
      <c r="AP201" s="50"/>
      <c r="AQ201" s="50"/>
      <c r="AR201" s="50"/>
      <c r="AS201" s="51"/>
      <c r="AT201" s="50"/>
      <c r="AU201" s="50"/>
      <c r="AV201" s="72"/>
      <c r="AW201" s="50"/>
      <c r="AX201" s="50"/>
    </row>
    <row r="202" spans="14:50" x14ac:dyDescent="0.3">
      <c r="N202" s="50"/>
      <c r="O202" s="50"/>
      <c r="P202" s="50"/>
      <c r="Q202" s="50"/>
      <c r="R202" s="50"/>
      <c r="S202" s="51"/>
      <c r="T202" s="50"/>
      <c r="U202" s="50"/>
      <c r="V202" s="72"/>
      <c r="W202" s="50"/>
      <c r="X202" s="50"/>
      <c r="Y202" s="37"/>
      <c r="Z202" s="37"/>
      <c r="AA202" s="37"/>
      <c r="AB202" s="37"/>
      <c r="AC202" s="72"/>
      <c r="AD202" s="37"/>
      <c r="AN202" s="50"/>
      <c r="AO202" s="50"/>
      <c r="AP202" s="50"/>
      <c r="AQ202" s="50"/>
      <c r="AR202" s="50"/>
      <c r="AS202" s="51"/>
      <c r="AT202" s="50"/>
      <c r="AU202" s="50"/>
      <c r="AV202" s="72"/>
      <c r="AW202" s="50"/>
      <c r="AX202" s="50"/>
    </row>
    <row r="203" spans="14:50" x14ac:dyDescent="0.3">
      <c r="N203" s="50"/>
      <c r="O203" s="50"/>
      <c r="P203" s="50"/>
      <c r="Q203" s="50"/>
      <c r="R203" s="50"/>
      <c r="S203" s="51"/>
      <c r="T203" s="50"/>
      <c r="U203" s="50"/>
      <c r="V203" s="73"/>
      <c r="W203" s="50"/>
      <c r="X203" s="50"/>
      <c r="Y203" s="37"/>
      <c r="Z203" s="37"/>
      <c r="AA203" s="37"/>
      <c r="AB203" s="37"/>
      <c r="AC203" s="72"/>
      <c r="AD203" s="37"/>
      <c r="AN203" s="50"/>
      <c r="AO203" s="50"/>
      <c r="AP203" s="50"/>
      <c r="AQ203" s="50"/>
      <c r="AR203" s="50"/>
      <c r="AS203" s="51"/>
      <c r="AT203" s="50"/>
      <c r="AU203" s="50"/>
      <c r="AV203" s="73"/>
      <c r="AW203" s="50"/>
      <c r="AX203" s="50"/>
    </row>
    <row r="204" spans="14:50" x14ac:dyDescent="0.3">
      <c r="N204" s="50"/>
      <c r="O204" s="50"/>
      <c r="P204" s="50"/>
      <c r="Q204" s="50"/>
      <c r="R204" s="50"/>
      <c r="S204" s="51"/>
      <c r="T204" s="50"/>
      <c r="U204" s="50"/>
      <c r="V204" s="73"/>
      <c r="W204" s="50"/>
      <c r="X204" s="50"/>
      <c r="Y204" s="37"/>
      <c r="Z204" s="37"/>
      <c r="AA204" s="37"/>
      <c r="AB204" s="37"/>
      <c r="AC204" s="72"/>
      <c r="AD204" s="37"/>
      <c r="AN204" s="50"/>
      <c r="AO204" s="50"/>
      <c r="AP204" s="50"/>
      <c r="AQ204" s="50"/>
      <c r="AR204" s="50"/>
      <c r="AS204" s="51"/>
      <c r="AT204" s="50"/>
      <c r="AU204" s="50"/>
      <c r="AV204" s="73"/>
      <c r="AW204" s="50"/>
      <c r="AX204" s="50"/>
    </row>
    <row r="205" spans="14:50" x14ac:dyDescent="0.3">
      <c r="N205" s="50"/>
      <c r="O205" s="50"/>
      <c r="P205" s="50"/>
      <c r="Q205" s="50"/>
      <c r="R205" s="50"/>
      <c r="S205" s="51"/>
      <c r="T205" s="50"/>
      <c r="U205" s="50"/>
      <c r="V205" s="73"/>
      <c r="W205" s="50"/>
      <c r="X205" s="50"/>
      <c r="Y205" s="37"/>
      <c r="Z205" s="37"/>
      <c r="AA205" s="37"/>
      <c r="AB205" s="37"/>
      <c r="AC205" s="72"/>
      <c r="AD205" s="37"/>
      <c r="AN205" s="50"/>
      <c r="AO205" s="50"/>
      <c r="AP205" s="50"/>
      <c r="AQ205" s="50"/>
      <c r="AR205" s="50"/>
      <c r="AS205" s="51"/>
      <c r="AT205" s="50"/>
      <c r="AU205" s="50"/>
      <c r="AV205" s="73"/>
      <c r="AW205" s="50"/>
      <c r="AX205" s="50"/>
    </row>
    <row r="206" spans="14:50" x14ac:dyDescent="0.3">
      <c r="N206" s="50"/>
      <c r="O206" s="50"/>
      <c r="P206" s="50"/>
      <c r="Q206" s="50"/>
      <c r="R206" s="50"/>
      <c r="S206" s="51"/>
      <c r="T206" s="50"/>
      <c r="U206" s="50"/>
      <c r="V206" s="73"/>
      <c r="W206" s="50"/>
      <c r="X206" s="50"/>
      <c r="Y206" s="37"/>
      <c r="Z206" s="37"/>
      <c r="AA206" s="37"/>
      <c r="AB206" s="37"/>
      <c r="AC206" s="72"/>
      <c r="AD206" s="37"/>
      <c r="AN206" s="50"/>
      <c r="AO206" s="50"/>
      <c r="AP206" s="50"/>
      <c r="AQ206" s="50"/>
      <c r="AR206" s="50"/>
      <c r="AS206" s="51"/>
      <c r="AT206" s="50"/>
      <c r="AU206" s="50"/>
      <c r="AV206" s="73"/>
      <c r="AW206" s="50"/>
      <c r="AX206" s="50"/>
    </row>
    <row r="207" spans="14:50" x14ac:dyDescent="0.3">
      <c r="N207" s="50"/>
      <c r="O207" s="50"/>
      <c r="P207" s="50"/>
      <c r="Q207" s="50"/>
      <c r="R207" s="50"/>
      <c r="S207" s="51"/>
      <c r="T207" s="50"/>
      <c r="U207" s="50"/>
      <c r="V207" s="73"/>
      <c r="W207" s="50"/>
      <c r="X207" s="50"/>
      <c r="Y207" s="37"/>
      <c r="Z207" s="37"/>
      <c r="AA207" s="37"/>
      <c r="AB207" s="37"/>
      <c r="AC207" s="72"/>
      <c r="AD207" s="37"/>
      <c r="AN207" s="50"/>
      <c r="AO207" s="50"/>
      <c r="AP207" s="50"/>
      <c r="AQ207" s="50"/>
      <c r="AR207" s="50"/>
      <c r="AS207" s="51"/>
      <c r="AT207" s="50"/>
      <c r="AU207" s="50"/>
      <c r="AV207" s="73"/>
      <c r="AW207" s="50"/>
      <c r="AX207" s="50"/>
    </row>
    <row r="208" spans="14:50" x14ac:dyDescent="0.3">
      <c r="N208" s="50"/>
      <c r="O208" s="50"/>
      <c r="P208" s="50"/>
      <c r="Q208" s="50"/>
      <c r="R208" s="50"/>
      <c r="S208" s="51"/>
      <c r="T208" s="50"/>
      <c r="U208" s="50"/>
      <c r="V208" s="73"/>
      <c r="W208" s="50"/>
      <c r="X208" s="50"/>
      <c r="Y208" s="37"/>
      <c r="Z208" s="37"/>
      <c r="AA208" s="37"/>
      <c r="AB208" s="37"/>
      <c r="AC208" s="72"/>
      <c r="AD208" s="37"/>
      <c r="AN208" s="50"/>
      <c r="AO208" s="50"/>
      <c r="AP208" s="50"/>
      <c r="AQ208" s="50"/>
      <c r="AR208" s="50"/>
      <c r="AS208" s="51"/>
      <c r="AT208" s="50"/>
      <c r="AU208" s="50"/>
      <c r="AV208" s="73"/>
      <c r="AW208" s="50"/>
      <c r="AX208" s="50"/>
    </row>
    <row r="209" spans="14:50" x14ac:dyDescent="0.3">
      <c r="N209" s="50"/>
      <c r="O209" s="50"/>
      <c r="P209" s="50"/>
      <c r="Q209" s="50"/>
      <c r="R209" s="50"/>
      <c r="S209" s="51"/>
      <c r="T209" s="50"/>
      <c r="U209" s="50"/>
      <c r="V209" s="73"/>
      <c r="W209" s="50"/>
      <c r="X209" s="50"/>
      <c r="Y209" s="37"/>
      <c r="Z209" s="37"/>
      <c r="AA209" s="37"/>
      <c r="AB209" s="37"/>
      <c r="AC209" s="72"/>
      <c r="AD209" s="37"/>
      <c r="AN209" s="50"/>
      <c r="AO209" s="50"/>
      <c r="AP209" s="50"/>
      <c r="AQ209" s="50"/>
      <c r="AR209" s="50"/>
      <c r="AS209" s="51"/>
      <c r="AT209" s="50"/>
      <c r="AU209" s="50"/>
      <c r="AV209" s="73"/>
      <c r="AW209" s="50"/>
      <c r="AX209" s="50"/>
    </row>
    <row r="210" spans="14:50" x14ac:dyDescent="0.3">
      <c r="N210" s="50"/>
      <c r="O210" s="50"/>
      <c r="P210" s="50"/>
      <c r="Q210" s="50"/>
      <c r="R210" s="50"/>
      <c r="S210" s="51"/>
      <c r="T210" s="50"/>
      <c r="U210" s="50"/>
      <c r="V210" s="73"/>
      <c r="W210" s="50"/>
      <c r="X210" s="50"/>
      <c r="Y210" s="37"/>
      <c r="Z210" s="37"/>
      <c r="AA210" s="37"/>
      <c r="AB210" s="37"/>
      <c r="AC210" s="72"/>
      <c r="AD210" s="37"/>
      <c r="AN210" s="50"/>
      <c r="AO210" s="50"/>
      <c r="AP210" s="50"/>
      <c r="AQ210" s="50"/>
      <c r="AR210" s="50"/>
      <c r="AS210" s="51"/>
      <c r="AT210" s="50"/>
      <c r="AU210" s="50"/>
      <c r="AV210" s="73"/>
      <c r="AW210" s="50"/>
      <c r="AX210" s="50"/>
    </row>
    <row r="211" spans="14:50" x14ac:dyDescent="0.3">
      <c r="N211" s="50"/>
      <c r="O211" s="50"/>
      <c r="P211" s="50"/>
      <c r="Q211" s="50"/>
      <c r="R211" s="50"/>
      <c r="S211" s="51"/>
      <c r="T211" s="50"/>
      <c r="U211" s="50"/>
      <c r="V211" s="73"/>
      <c r="W211" s="50"/>
      <c r="X211" s="50"/>
      <c r="Y211" s="37"/>
      <c r="Z211" s="37"/>
      <c r="AA211" s="37"/>
      <c r="AB211" s="37"/>
      <c r="AC211" s="72"/>
      <c r="AD211" s="37"/>
      <c r="AN211" s="50"/>
      <c r="AO211" s="50"/>
      <c r="AP211" s="50"/>
      <c r="AQ211" s="50"/>
      <c r="AR211" s="50"/>
      <c r="AS211" s="51"/>
      <c r="AT211" s="50"/>
      <c r="AU211" s="50"/>
      <c r="AV211" s="73"/>
      <c r="AW211" s="50"/>
      <c r="AX211" s="50"/>
    </row>
    <row r="212" spans="14:50" x14ac:dyDescent="0.3">
      <c r="N212" s="50"/>
      <c r="O212" s="50"/>
      <c r="P212" s="50"/>
      <c r="Q212" s="50"/>
      <c r="R212" s="50"/>
      <c r="S212" s="51"/>
      <c r="T212" s="50"/>
      <c r="U212" s="50"/>
      <c r="V212" s="73"/>
      <c r="W212" s="50"/>
      <c r="X212" s="50"/>
      <c r="Y212" s="37"/>
      <c r="Z212" s="37"/>
      <c r="AA212" s="37"/>
      <c r="AB212" s="37"/>
      <c r="AC212" s="72"/>
      <c r="AD212" s="37"/>
      <c r="AN212" s="50"/>
      <c r="AO212" s="50"/>
      <c r="AP212" s="50"/>
      <c r="AQ212" s="50"/>
      <c r="AR212" s="50"/>
      <c r="AS212" s="51"/>
      <c r="AT212" s="50"/>
      <c r="AU212" s="50"/>
      <c r="AV212" s="73"/>
      <c r="AW212" s="50"/>
      <c r="AX212" s="50"/>
    </row>
    <row r="213" spans="14:50" x14ac:dyDescent="0.3">
      <c r="N213" s="50"/>
      <c r="O213" s="50"/>
      <c r="P213" s="50"/>
      <c r="Q213" s="50"/>
      <c r="R213" s="50"/>
      <c r="S213" s="51"/>
      <c r="T213" s="50"/>
      <c r="U213" s="50"/>
      <c r="V213" s="73"/>
      <c r="W213" s="50"/>
      <c r="X213" s="50"/>
      <c r="Y213" s="37"/>
      <c r="Z213" s="37"/>
      <c r="AA213" s="37"/>
      <c r="AB213" s="37"/>
      <c r="AC213" s="72"/>
      <c r="AD213" s="37"/>
      <c r="AN213" s="50"/>
      <c r="AO213" s="50"/>
      <c r="AP213" s="50"/>
      <c r="AQ213" s="50"/>
      <c r="AR213" s="50"/>
      <c r="AS213" s="51"/>
      <c r="AT213" s="50"/>
      <c r="AU213" s="50"/>
      <c r="AV213" s="73"/>
      <c r="AW213" s="50"/>
      <c r="AX213" s="50"/>
    </row>
    <row r="214" spans="14:50" x14ac:dyDescent="0.3">
      <c r="N214" s="50"/>
      <c r="O214" s="50"/>
      <c r="P214" s="50"/>
      <c r="Q214" s="50"/>
      <c r="R214" s="50"/>
      <c r="S214" s="51"/>
      <c r="T214" s="50"/>
      <c r="U214" s="50"/>
      <c r="V214" s="73"/>
      <c r="W214" s="50"/>
      <c r="X214" s="50"/>
      <c r="Y214" s="37"/>
      <c r="Z214" s="37"/>
      <c r="AA214" s="37"/>
      <c r="AB214" s="37"/>
      <c r="AC214" s="72"/>
      <c r="AD214" s="37"/>
      <c r="AN214" s="50"/>
      <c r="AO214" s="50"/>
      <c r="AP214" s="50"/>
      <c r="AQ214" s="50"/>
      <c r="AR214" s="50"/>
      <c r="AS214" s="51"/>
      <c r="AT214" s="50"/>
      <c r="AU214" s="50"/>
      <c r="AV214" s="73"/>
      <c r="AW214" s="50"/>
      <c r="AX214" s="50"/>
    </row>
    <row r="215" spans="14:50" x14ac:dyDescent="0.3">
      <c r="N215" s="50"/>
      <c r="O215" s="50"/>
      <c r="P215" s="50"/>
      <c r="Q215" s="50"/>
      <c r="R215" s="50"/>
      <c r="S215" s="51"/>
      <c r="T215" s="50"/>
      <c r="U215" s="50"/>
      <c r="V215" s="73"/>
      <c r="W215" s="50"/>
      <c r="X215" s="50"/>
      <c r="Y215" s="37"/>
      <c r="Z215" s="37"/>
      <c r="AA215" s="37"/>
      <c r="AB215" s="37"/>
      <c r="AC215" s="72"/>
      <c r="AD215" s="37"/>
      <c r="AN215" s="50"/>
      <c r="AO215" s="50"/>
      <c r="AP215" s="50"/>
      <c r="AQ215" s="50"/>
      <c r="AR215" s="50"/>
      <c r="AS215" s="51"/>
      <c r="AT215" s="50"/>
      <c r="AU215" s="50"/>
      <c r="AV215" s="73"/>
      <c r="AW215" s="50"/>
      <c r="AX215" s="50"/>
    </row>
    <row r="216" spans="14:50" x14ac:dyDescent="0.3">
      <c r="N216" s="50"/>
      <c r="O216" s="50"/>
      <c r="P216" s="50"/>
      <c r="Q216" s="50"/>
      <c r="R216" s="50"/>
      <c r="S216" s="51"/>
      <c r="T216" s="50"/>
      <c r="U216" s="50"/>
      <c r="V216" s="73"/>
      <c r="W216" s="50"/>
      <c r="X216" s="50"/>
      <c r="Y216" s="37"/>
      <c r="Z216" s="37"/>
      <c r="AA216" s="37"/>
      <c r="AB216" s="37"/>
      <c r="AC216" s="72"/>
      <c r="AD216" s="37"/>
      <c r="AN216" s="50"/>
      <c r="AO216" s="50"/>
      <c r="AP216" s="50"/>
      <c r="AQ216" s="50"/>
      <c r="AR216" s="50"/>
      <c r="AS216" s="51"/>
      <c r="AT216" s="50"/>
      <c r="AU216" s="50"/>
      <c r="AV216" s="73"/>
      <c r="AW216" s="50"/>
      <c r="AX216" s="50"/>
    </row>
    <row r="217" spans="14:50" x14ac:dyDescent="0.3">
      <c r="N217" s="50"/>
      <c r="O217" s="50"/>
      <c r="P217" s="50"/>
      <c r="Q217" s="50"/>
      <c r="R217" s="50"/>
      <c r="S217" s="51"/>
      <c r="T217" s="50"/>
      <c r="U217" s="50"/>
      <c r="V217" s="73"/>
      <c r="W217" s="50"/>
      <c r="X217" s="50"/>
      <c r="Y217" s="37"/>
      <c r="Z217" s="37"/>
      <c r="AA217" s="37"/>
      <c r="AB217" s="37"/>
      <c r="AC217" s="72"/>
      <c r="AD217" s="37"/>
      <c r="AN217" s="50"/>
      <c r="AO217" s="50"/>
      <c r="AP217" s="50"/>
      <c r="AQ217" s="50"/>
      <c r="AR217" s="50"/>
      <c r="AS217" s="51"/>
      <c r="AT217" s="50"/>
      <c r="AU217" s="50"/>
      <c r="AV217" s="73"/>
      <c r="AW217" s="50"/>
      <c r="AX217" s="50"/>
    </row>
    <row r="218" spans="14:50" x14ac:dyDescent="0.3">
      <c r="N218" s="50"/>
      <c r="O218" s="50"/>
      <c r="P218" s="50"/>
      <c r="Q218" s="50"/>
      <c r="R218" s="50"/>
      <c r="S218" s="51"/>
      <c r="T218" s="50"/>
      <c r="U218" s="50"/>
      <c r="V218" s="73"/>
      <c r="W218" s="50"/>
      <c r="X218" s="50"/>
      <c r="Y218" s="37"/>
      <c r="Z218" s="37"/>
      <c r="AA218" s="37"/>
      <c r="AB218" s="37"/>
      <c r="AC218" s="72"/>
      <c r="AD218" s="37"/>
      <c r="AN218" s="50"/>
      <c r="AO218" s="50"/>
      <c r="AP218" s="50"/>
      <c r="AQ218" s="50"/>
      <c r="AR218" s="50"/>
      <c r="AS218" s="51"/>
      <c r="AT218" s="50"/>
      <c r="AU218" s="50"/>
      <c r="AV218" s="73"/>
      <c r="AW218" s="50"/>
      <c r="AX218" s="50"/>
    </row>
    <row r="219" spans="14:50" x14ac:dyDescent="0.3">
      <c r="N219" s="50"/>
      <c r="O219" s="50"/>
      <c r="P219" s="50"/>
      <c r="Q219" s="50"/>
      <c r="R219" s="50"/>
      <c r="S219" s="51"/>
      <c r="T219" s="50"/>
      <c r="U219" s="50"/>
      <c r="V219" s="73"/>
      <c r="W219" s="50"/>
      <c r="X219" s="50"/>
      <c r="Y219" s="37"/>
      <c r="Z219" s="37"/>
      <c r="AA219" s="37"/>
      <c r="AB219" s="37"/>
      <c r="AC219" s="72"/>
      <c r="AD219" s="37"/>
      <c r="AN219" s="50"/>
      <c r="AO219" s="50"/>
      <c r="AP219" s="50"/>
      <c r="AQ219" s="50"/>
      <c r="AR219" s="50"/>
      <c r="AS219" s="51"/>
      <c r="AT219" s="50"/>
      <c r="AU219" s="50"/>
      <c r="AV219" s="73"/>
      <c r="AW219" s="50"/>
      <c r="AX219" s="50"/>
    </row>
    <row r="220" spans="14:50" x14ac:dyDescent="0.3">
      <c r="N220" s="50"/>
      <c r="O220" s="50"/>
      <c r="P220" s="50"/>
      <c r="Q220" s="50"/>
      <c r="R220" s="50"/>
      <c r="S220" s="51"/>
      <c r="T220" s="50"/>
      <c r="U220" s="50"/>
      <c r="V220" s="73"/>
      <c r="W220" s="50"/>
      <c r="X220" s="50"/>
      <c r="Y220" s="37"/>
      <c r="Z220" s="37"/>
      <c r="AA220" s="37"/>
      <c r="AB220" s="37"/>
      <c r="AC220" s="72"/>
      <c r="AD220" s="37"/>
      <c r="AN220" s="50"/>
      <c r="AO220" s="50"/>
      <c r="AP220" s="50"/>
      <c r="AQ220" s="50"/>
      <c r="AR220" s="50"/>
      <c r="AS220" s="51"/>
      <c r="AT220" s="50"/>
      <c r="AU220" s="50"/>
      <c r="AV220" s="73"/>
      <c r="AW220" s="50"/>
      <c r="AX220" s="50"/>
    </row>
    <row r="221" spans="14:50" x14ac:dyDescent="0.3">
      <c r="N221" s="50"/>
      <c r="O221" s="50"/>
      <c r="P221" s="50"/>
      <c r="Q221" s="50"/>
      <c r="R221" s="50"/>
      <c r="S221" s="51"/>
      <c r="T221" s="50"/>
      <c r="U221" s="50"/>
      <c r="V221" s="73"/>
      <c r="W221" s="50"/>
      <c r="X221" s="50"/>
      <c r="Y221" s="37"/>
      <c r="Z221" s="37"/>
      <c r="AA221" s="37"/>
      <c r="AB221" s="37"/>
      <c r="AC221" s="72"/>
      <c r="AD221" s="37"/>
      <c r="AN221" s="50"/>
      <c r="AO221" s="50"/>
      <c r="AP221" s="50"/>
      <c r="AQ221" s="50"/>
      <c r="AR221" s="50"/>
      <c r="AS221" s="51"/>
      <c r="AT221" s="50"/>
      <c r="AU221" s="50"/>
      <c r="AV221" s="73"/>
      <c r="AW221" s="50"/>
      <c r="AX221" s="50"/>
    </row>
    <row r="222" spans="14:50" x14ac:dyDescent="0.3">
      <c r="N222" s="50"/>
      <c r="O222" s="50"/>
      <c r="P222" s="50"/>
      <c r="Q222" s="50"/>
      <c r="R222" s="50"/>
      <c r="S222" s="51"/>
      <c r="T222" s="50"/>
      <c r="U222" s="50"/>
      <c r="V222" s="73"/>
      <c r="W222" s="50"/>
      <c r="X222" s="50"/>
      <c r="Y222" s="37"/>
      <c r="Z222" s="37"/>
      <c r="AA222" s="37"/>
      <c r="AB222" s="37"/>
      <c r="AC222" s="72"/>
      <c r="AD222" s="37"/>
      <c r="AN222" s="50"/>
      <c r="AO222" s="50"/>
      <c r="AP222" s="50"/>
      <c r="AQ222" s="50"/>
      <c r="AR222" s="50"/>
      <c r="AS222" s="51"/>
      <c r="AT222" s="50"/>
      <c r="AU222" s="50"/>
      <c r="AV222" s="73"/>
      <c r="AW222" s="50"/>
      <c r="AX222" s="50"/>
    </row>
    <row r="223" spans="14:50" x14ac:dyDescent="0.3">
      <c r="N223" s="50"/>
      <c r="O223" s="50"/>
      <c r="P223" s="50"/>
      <c r="Q223" s="50"/>
      <c r="R223" s="50"/>
      <c r="S223" s="51"/>
      <c r="T223" s="50"/>
      <c r="U223" s="50"/>
      <c r="V223" s="73"/>
      <c r="W223" s="50"/>
      <c r="X223" s="50"/>
      <c r="Y223" s="37"/>
      <c r="Z223" s="37"/>
      <c r="AA223" s="37"/>
      <c r="AB223" s="37"/>
      <c r="AC223" s="72"/>
      <c r="AD223" s="37"/>
      <c r="AN223" s="50"/>
      <c r="AO223" s="50"/>
      <c r="AP223" s="50"/>
      <c r="AQ223" s="50"/>
      <c r="AR223" s="50"/>
      <c r="AS223" s="51"/>
      <c r="AT223" s="50"/>
      <c r="AU223" s="50"/>
      <c r="AV223" s="73"/>
      <c r="AW223" s="50"/>
      <c r="AX223" s="50"/>
    </row>
    <row r="224" spans="14:50" x14ac:dyDescent="0.3">
      <c r="N224" s="50"/>
      <c r="O224" s="50"/>
      <c r="P224" s="50"/>
      <c r="Q224" s="50"/>
      <c r="R224" s="50"/>
      <c r="S224" s="51"/>
      <c r="T224" s="50"/>
      <c r="U224" s="50"/>
      <c r="V224" s="73"/>
      <c r="W224" s="50"/>
      <c r="X224" s="50"/>
      <c r="Y224" s="37"/>
      <c r="Z224" s="37"/>
      <c r="AA224" s="37"/>
      <c r="AB224" s="37"/>
      <c r="AC224" s="72"/>
      <c r="AD224" s="37"/>
      <c r="AN224" s="50"/>
      <c r="AO224" s="50"/>
      <c r="AP224" s="50"/>
      <c r="AQ224" s="50"/>
      <c r="AR224" s="50"/>
      <c r="AS224" s="51"/>
      <c r="AT224" s="50"/>
      <c r="AU224" s="50"/>
      <c r="AV224" s="73"/>
      <c r="AW224" s="50"/>
      <c r="AX224" s="50"/>
    </row>
    <row r="225" spans="14:50" x14ac:dyDescent="0.3">
      <c r="N225" s="50"/>
      <c r="O225" s="50"/>
      <c r="P225" s="50"/>
      <c r="Q225" s="50"/>
      <c r="R225" s="50"/>
      <c r="S225" s="51"/>
      <c r="T225" s="50"/>
      <c r="U225" s="50"/>
      <c r="V225" s="73"/>
      <c r="W225" s="50"/>
      <c r="X225" s="50"/>
      <c r="Y225" s="37"/>
      <c r="Z225" s="37"/>
      <c r="AA225" s="37"/>
      <c r="AB225" s="37"/>
      <c r="AC225" s="72"/>
      <c r="AD225" s="37"/>
      <c r="AN225" s="50"/>
      <c r="AO225" s="50"/>
      <c r="AP225" s="50"/>
      <c r="AQ225" s="50"/>
      <c r="AR225" s="50"/>
      <c r="AS225" s="51"/>
      <c r="AT225" s="50"/>
      <c r="AU225" s="50"/>
      <c r="AV225" s="73"/>
      <c r="AW225" s="50"/>
      <c r="AX225" s="50"/>
    </row>
    <row r="226" spans="14:50" x14ac:dyDescent="0.3">
      <c r="N226" s="50"/>
      <c r="O226" s="50"/>
      <c r="P226" s="50"/>
      <c r="Q226" s="50"/>
      <c r="R226" s="50"/>
      <c r="S226" s="51"/>
      <c r="T226" s="50"/>
      <c r="U226" s="50"/>
      <c r="V226" s="73"/>
      <c r="W226" s="50"/>
      <c r="X226" s="50"/>
      <c r="Y226" s="37"/>
      <c r="Z226" s="37"/>
      <c r="AA226" s="37"/>
      <c r="AB226" s="37"/>
      <c r="AC226" s="72"/>
      <c r="AD226" s="37"/>
      <c r="AN226" s="50"/>
      <c r="AO226" s="50"/>
      <c r="AP226" s="50"/>
      <c r="AQ226" s="50"/>
      <c r="AR226" s="50"/>
      <c r="AS226" s="51"/>
      <c r="AT226" s="50"/>
      <c r="AU226" s="50"/>
      <c r="AV226" s="73"/>
      <c r="AW226" s="50"/>
      <c r="AX226" s="50"/>
    </row>
    <row r="227" spans="14:50" x14ac:dyDescent="0.3">
      <c r="N227" s="50"/>
      <c r="O227" s="50"/>
      <c r="P227" s="50"/>
      <c r="Q227" s="50"/>
      <c r="R227" s="50"/>
      <c r="S227" s="51"/>
      <c r="T227" s="50"/>
      <c r="U227" s="50"/>
      <c r="V227" s="73"/>
      <c r="W227" s="50"/>
      <c r="X227" s="50"/>
      <c r="Y227" s="37"/>
      <c r="Z227" s="37"/>
      <c r="AA227" s="37"/>
      <c r="AB227" s="37"/>
      <c r="AC227" s="72"/>
      <c r="AD227" s="37"/>
      <c r="AN227" s="50"/>
      <c r="AO227" s="50"/>
      <c r="AP227" s="50"/>
      <c r="AQ227" s="50"/>
      <c r="AR227" s="50"/>
      <c r="AS227" s="51"/>
      <c r="AT227" s="50"/>
      <c r="AU227" s="50"/>
      <c r="AV227" s="73"/>
      <c r="AW227" s="50"/>
      <c r="AX227" s="50"/>
    </row>
    <row r="228" spans="14:50" x14ac:dyDescent="0.3">
      <c r="N228" s="50"/>
      <c r="O228" s="50"/>
      <c r="P228" s="50"/>
      <c r="Q228" s="50"/>
      <c r="R228" s="50"/>
      <c r="S228" s="51"/>
      <c r="T228" s="50"/>
      <c r="U228" s="50"/>
      <c r="V228" s="73"/>
      <c r="W228" s="50"/>
      <c r="X228" s="50"/>
      <c r="Y228" s="37"/>
      <c r="Z228" s="37"/>
      <c r="AA228" s="37"/>
      <c r="AB228" s="37"/>
      <c r="AC228" s="72"/>
      <c r="AD228" s="37"/>
      <c r="AN228" s="50"/>
      <c r="AO228" s="50"/>
      <c r="AP228" s="50"/>
      <c r="AQ228" s="50"/>
      <c r="AR228" s="50"/>
      <c r="AS228" s="51"/>
      <c r="AT228" s="50"/>
      <c r="AU228" s="50"/>
      <c r="AV228" s="73"/>
      <c r="AW228" s="50"/>
      <c r="AX228" s="50"/>
    </row>
    <row r="229" spans="14:50" x14ac:dyDescent="0.3">
      <c r="N229" s="50"/>
      <c r="O229" s="50"/>
      <c r="P229" s="50"/>
      <c r="Q229" s="50"/>
      <c r="R229" s="50"/>
      <c r="S229" s="51"/>
      <c r="T229" s="50"/>
      <c r="U229" s="50"/>
      <c r="V229" s="73"/>
      <c r="W229" s="50"/>
      <c r="X229" s="50"/>
      <c r="Y229" s="37"/>
      <c r="Z229" s="37"/>
      <c r="AA229" s="37"/>
      <c r="AB229" s="37"/>
      <c r="AC229" s="72"/>
      <c r="AD229" s="37"/>
      <c r="AN229" s="50"/>
      <c r="AO229" s="50"/>
      <c r="AP229" s="50"/>
      <c r="AQ229" s="50"/>
      <c r="AR229" s="50"/>
      <c r="AS229" s="51"/>
      <c r="AT229" s="50"/>
      <c r="AU229" s="50"/>
      <c r="AV229" s="73"/>
      <c r="AW229" s="50"/>
      <c r="AX229" s="50"/>
    </row>
    <row r="230" spans="14:50" x14ac:dyDescent="0.3">
      <c r="N230" s="50"/>
      <c r="O230" s="50"/>
      <c r="P230" s="50"/>
      <c r="Q230" s="50"/>
      <c r="R230" s="50"/>
      <c r="S230" s="51"/>
      <c r="T230" s="50"/>
      <c r="U230" s="50"/>
      <c r="V230" s="73"/>
      <c r="W230" s="50"/>
      <c r="X230" s="50"/>
      <c r="Y230" s="37"/>
      <c r="Z230" s="37"/>
      <c r="AA230" s="37"/>
      <c r="AB230" s="37"/>
      <c r="AC230" s="72"/>
      <c r="AD230" s="37"/>
      <c r="AN230" s="50"/>
      <c r="AO230" s="50"/>
      <c r="AP230" s="50"/>
      <c r="AQ230" s="50"/>
      <c r="AR230" s="50"/>
      <c r="AS230" s="51"/>
      <c r="AT230" s="50"/>
      <c r="AU230" s="50"/>
      <c r="AV230" s="73"/>
      <c r="AW230" s="50"/>
      <c r="AX230" s="50"/>
    </row>
    <row r="231" spans="14:50" x14ac:dyDescent="0.3">
      <c r="N231" s="50"/>
      <c r="O231" s="50"/>
      <c r="P231" s="50"/>
      <c r="Q231" s="50"/>
      <c r="R231" s="50"/>
      <c r="S231" s="51"/>
      <c r="T231" s="50"/>
      <c r="U231" s="50"/>
      <c r="V231" s="73"/>
      <c r="W231" s="50"/>
      <c r="X231" s="50"/>
      <c r="Y231" s="37"/>
      <c r="Z231" s="37"/>
      <c r="AA231" s="37"/>
      <c r="AB231" s="37"/>
      <c r="AC231" s="72"/>
      <c r="AD231" s="37"/>
      <c r="AN231" s="50"/>
      <c r="AO231" s="50"/>
      <c r="AP231" s="50"/>
      <c r="AQ231" s="50"/>
      <c r="AR231" s="50"/>
      <c r="AS231" s="51"/>
      <c r="AT231" s="50"/>
      <c r="AU231" s="50"/>
      <c r="AV231" s="73"/>
      <c r="AW231" s="50"/>
      <c r="AX231" s="50"/>
    </row>
    <row r="232" spans="14:50" x14ac:dyDescent="0.3">
      <c r="N232" s="50"/>
      <c r="O232" s="50"/>
      <c r="P232" s="50"/>
      <c r="Q232" s="50"/>
      <c r="R232" s="50"/>
      <c r="S232" s="51"/>
      <c r="T232" s="50"/>
      <c r="U232" s="50"/>
      <c r="V232" s="73"/>
      <c r="W232" s="50"/>
      <c r="X232" s="50"/>
      <c r="Y232" s="37"/>
      <c r="Z232" s="37"/>
      <c r="AA232" s="37"/>
      <c r="AB232" s="37"/>
      <c r="AC232" s="72"/>
      <c r="AD232" s="37"/>
      <c r="AN232" s="50"/>
      <c r="AO232" s="50"/>
      <c r="AP232" s="50"/>
      <c r="AQ232" s="50"/>
      <c r="AR232" s="50"/>
      <c r="AS232" s="51"/>
      <c r="AT232" s="50"/>
      <c r="AU232" s="50"/>
      <c r="AV232" s="73"/>
      <c r="AW232" s="50"/>
      <c r="AX232" s="50"/>
    </row>
    <row r="233" spans="14:50" x14ac:dyDescent="0.3">
      <c r="N233" s="50"/>
      <c r="O233" s="50"/>
      <c r="P233" s="50"/>
      <c r="Q233" s="50"/>
      <c r="R233" s="50"/>
      <c r="S233" s="51"/>
      <c r="T233" s="50"/>
      <c r="U233" s="50"/>
      <c r="V233" s="73"/>
      <c r="W233" s="50"/>
      <c r="X233" s="50"/>
      <c r="Y233" s="37"/>
      <c r="Z233" s="37"/>
      <c r="AA233" s="37"/>
      <c r="AB233" s="37"/>
      <c r="AC233" s="72"/>
      <c r="AD233" s="37"/>
      <c r="AN233" s="50"/>
      <c r="AO233" s="50"/>
      <c r="AP233" s="50"/>
      <c r="AQ233" s="50"/>
      <c r="AR233" s="50"/>
      <c r="AS233" s="51"/>
      <c r="AT233" s="50"/>
      <c r="AU233" s="50"/>
      <c r="AV233" s="73"/>
      <c r="AW233" s="50"/>
      <c r="AX233" s="50"/>
    </row>
    <row r="234" spans="14:50" x14ac:dyDescent="0.3">
      <c r="N234" s="50"/>
      <c r="O234" s="50"/>
      <c r="P234" s="50"/>
      <c r="Q234" s="50"/>
      <c r="R234" s="50"/>
      <c r="S234" s="51"/>
      <c r="T234" s="50"/>
      <c r="U234" s="50"/>
      <c r="V234" s="73"/>
      <c r="W234" s="50"/>
      <c r="X234" s="50"/>
      <c r="Y234" s="37"/>
      <c r="Z234" s="37"/>
      <c r="AA234" s="37"/>
      <c r="AB234" s="37"/>
      <c r="AC234" s="72"/>
      <c r="AD234" s="37"/>
      <c r="AN234" s="50"/>
      <c r="AO234" s="50"/>
      <c r="AP234" s="50"/>
      <c r="AQ234" s="50"/>
      <c r="AR234" s="50"/>
      <c r="AS234" s="51"/>
      <c r="AT234" s="50"/>
      <c r="AU234" s="50"/>
      <c r="AV234" s="73"/>
      <c r="AW234" s="50"/>
      <c r="AX234" s="50"/>
    </row>
    <row r="235" spans="14:50" x14ac:dyDescent="0.3">
      <c r="N235" s="50"/>
      <c r="O235" s="50"/>
      <c r="P235" s="50"/>
      <c r="Q235" s="50"/>
      <c r="R235" s="50"/>
      <c r="S235" s="51"/>
      <c r="T235" s="50"/>
      <c r="U235" s="50"/>
      <c r="V235" s="73"/>
      <c r="W235" s="50"/>
      <c r="X235" s="50"/>
      <c r="Y235" s="37"/>
      <c r="Z235" s="37"/>
      <c r="AA235" s="37"/>
      <c r="AB235" s="37"/>
      <c r="AC235" s="72"/>
      <c r="AD235" s="37"/>
      <c r="AN235" s="50"/>
      <c r="AO235" s="50"/>
      <c r="AP235" s="50"/>
      <c r="AQ235" s="50"/>
      <c r="AR235" s="50"/>
      <c r="AS235" s="51"/>
      <c r="AT235" s="50"/>
      <c r="AU235" s="50"/>
      <c r="AV235" s="73"/>
      <c r="AW235" s="50"/>
      <c r="AX235" s="50"/>
    </row>
    <row r="236" spans="14:50" x14ac:dyDescent="0.3">
      <c r="N236" s="50"/>
      <c r="O236" s="50"/>
      <c r="P236" s="50"/>
      <c r="Q236" s="50"/>
      <c r="R236" s="50"/>
      <c r="S236" s="51"/>
      <c r="T236" s="50"/>
      <c r="U236" s="50"/>
      <c r="V236" s="73"/>
      <c r="W236" s="50"/>
      <c r="X236" s="50"/>
      <c r="Y236" s="37"/>
      <c r="Z236" s="37"/>
      <c r="AA236" s="37"/>
      <c r="AB236" s="37"/>
      <c r="AC236" s="72"/>
      <c r="AD236" s="37"/>
      <c r="AN236" s="50"/>
      <c r="AO236" s="50"/>
      <c r="AP236" s="50"/>
      <c r="AQ236" s="50"/>
      <c r="AR236" s="50"/>
      <c r="AS236" s="51"/>
      <c r="AT236" s="50"/>
      <c r="AU236" s="50"/>
      <c r="AV236" s="73"/>
      <c r="AW236" s="50"/>
      <c r="AX236" s="50"/>
    </row>
    <row r="237" spans="14:50" x14ac:dyDescent="0.3">
      <c r="N237" s="50"/>
      <c r="O237" s="50"/>
      <c r="P237" s="50"/>
      <c r="Q237" s="50"/>
      <c r="R237" s="50"/>
      <c r="S237" s="51"/>
      <c r="T237" s="50"/>
      <c r="U237" s="50"/>
      <c r="V237" s="73"/>
      <c r="W237" s="50"/>
      <c r="X237" s="50"/>
      <c r="Y237" s="37"/>
      <c r="Z237" s="37"/>
      <c r="AA237" s="37"/>
      <c r="AB237" s="37"/>
      <c r="AC237" s="72"/>
      <c r="AD237" s="37"/>
      <c r="AN237" s="50"/>
      <c r="AO237" s="50"/>
      <c r="AP237" s="50"/>
      <c r="AQ237" s="50"/>
      <c r="AR237" s="50"/>
      <c r="AS237" s="51"/>
      <c r="AT237" s="50"/>
      <c r="AU237" s="50"/>
      <c r="AV237" s="73"/>
      <c r="AW237" s="50"/>
      <c r="AX237" s="50"/>
    </row>
    <row r="238" spans="14:50" x14ac:dyDescent="0.3">
      <c r="N238" s="50"/>
      <c r="O238" s="50"/>
      <c r="P238" s="50"/>
      <c r="Q238" s="50"/>
      <c r="R238" s="50"/>
      <c r="S238" s="51"/>
      <c r="T238" s="50"/>
      <c r="U238" s="50"/>
      <c r="V238" s="73"/>
      <c r="W238" s="50"/>
      <c r="X238" s="50"/>
      <c r="Y238" s="37"/>
      <c r="Z238" s="37"/>
      <c r="AA238" s="37"/>
      <c r="AB238" s="37"/>
      <c r="AC238" s="72"/>
      <c r="AD238" s="37"/>
      <c r="AN238" s="50"/>
      <c r="AO238" s="50"/>
      <c r="AP238" s="50"/>
      <c r="AQ238" s="50"/>
      <c r="AR238" s="50"/>
      <c r="AS238" s="51"/>
      <c r="AT238" s="50"/>
      <c r="AU238" s="50"/>
      <c r="AV238" s="73"/>
      <c r="AW238" s="50"/>
      <c r="AX238" s="50"/>
    </row>
    <row r="239" spans="14:50" x14ac:dyDescent="0.3">
      <c r="N239" s="50"/>
      <c r="O239" s="50"/>
      <c r="P239" s="50"/>
      <c r="Q239" s="50"/>
      <c r="R239" s="50"/>
      <c r="S239" s="51"/>
      <c r="T239" s="50"/>
      <c r="U239" s="50"/>
      <c r="V239" s="73"/>
      <c r="W239" s="50"/>
      <c r="X239" s="50"/>
      <c r="Y239" s="37"/>
      <c r="Z239" s="37"/>
      <c r="AA239" s="37"/>
      <c r="AB239" s="37"/>
      <c r="AC239" s="72"/>
      <c r="AD239" s="37"/>
      <c r="AN239" s="50"/>
      <c r="AO239" s="50"/>
      <c r="AP239" s="50"/>
      <c r="AQ239" s="50"/>
      <c r="AR239" s="50"/>
      <c r="AS239" s="51"/>
      <c r="AT239" s="50"/>
      <c r="AU239" s="50"/>
      <c r="AV239" s="73"/>
      <c r="AW239" s="50"/>
      <c r="AX239" s="50"/>
    </row>
    <row r="240" spans="14:50" x14ac:dyDescent="0.3">
      <c r="N240" s="50"/>
      <c r="O240" s="50"/>
      <c r="P240" s="50"/>
      <c r="Q240" s="50"/>
      <c r="R240" s="50"/>
      <c r="S240" s="51"/>
      <c r="T240" s="50"/>
      <c r="U240" s="50"/>
      <c r="V240" s="73"/>
      <c r="W240" s="50"/>
      <c r="X240" s="50"/>
      <c r="Y240" s="37"/>
      <c r="Z240" s="37"/>
      <c r="AA240" s="37"/>
      <c r="AB240" s="37"/>
      <c r="AC240" s="72"/>
      <c r="AD240" s="37"/>
      <c r="AN240" s="50"/>
      <c r="AO240" s="50"/>
      <c r="AP240" s="50"/>
      <c r="AQ240" s="50"/>
      <c r="AR240" s="50"/>
      <c r="AS240" s="51"/>
      <c r="AT240" s="50"/>
      <c r="AU240" s="50"/>
      <c r="AV240" s="73"/>
      <c r="AW240" s="50"/>
      <c r="AX240" s="50"/>
    </row>
    <row r="241" spans="14:50" x14ac:dyDescent="0.3">
      <c r="N241" s="50"/>
      <c r="O241" s="50"/>
      <c r="P241" s="50"/>
      <c r="Q241" s="50"/>
      <c r="R241" s="50"/>
      <c r="S241" s="51"/>
      <c r="T241" s="50"/>
      <c r="U241" s="50"/>
      <c r="V241" s="73"/>
      <c r="W241" s="50"/>
      <c r="X241" s="50"/>
      <c r="Y241" s="37"/>
      <c r="Z241" s="37"/>
      <c r="AA241" s="37"/>
      <c r="AB241" s="37"/>
      <c r="AC241" s="72"/>
      <c r="AD241" s="37"/>
      <c r="AN241" s="50"/>
      <c r="AO241" s="50"/>
      <c r="AP241" s="50"/>
      <c r="AQ241" s="50"/>
      <c r="AR241" s="50"/>
      <c r="AS241" s="51"/>
      <c r="AT241" s="50"/>
      <c r="AU241" s="50"/>
      <c r="AV241" s="73"/>
      <c r="AW241" s="50"/>
      <c r="AX241" s="50"/>
    </row>
    <row r="242" spans="14:50" x14ac:dyDescent="0.3">
      <c r="N242" s="50"/>
      <c r="O242" s="50"/>
      <c r="P242" s="50"/>
      <c r="Q242" s="50"/>
      <c r="R242" s="50"/>
      <c r="S242" s="51"/>
      <c r="T242" s="50"/>
      <c r="U242" s="50"/>
      <c r="V242" s="73"/>
      <c r="W242" s="50"/>
      <c r="X242" s="50"/>
      <c r="Y242" s="37"/>
      <c r="Z242" s="37"/>
      <c r="AA242" s="37"/>
      <c r="AB242" s="37"/>
      <c r="AC242" s="72"/>
      <c r="AD242" s="37"/>
      <c r="AN242" s="50"/>
      <c r="AO242" s="50"/>
      <c r="AP242" s="50"/>
      <c r="AQ242" s="50"/>
      <c r="AR242" s="50"/>
      <c r="AS242" s="51"/>
      <c r="AT242" s="50"/>
      <c r="AU242" s="50"/>
      <c r="AV242" s="73"/>
      <c r="AW242" s="50"/>
      <c r="AX242" s="50"/>
    </row>
    <row r="243" spans="14:50" x14ac:dyDescent="0.3">
      <c r="N243" s="50"/>
      <c r="O243" s="50"/>
      <c r="P243" s="50"/>
      <c r="Q243" s="50"/>
      <c r="R243" s="50"/>
      <c r="S243" s="51"/>
      <c r="T243" s="50"/>
      <c r="U243" s="50"/>
      <c r="V243" s="73"/>
      <c r="W243" s="50"/>
      <c r="X243" s="50"/>
      <c r="Y243" s="37"/>
      <c r="Z243" s="37"/>
      <c r="AA243" s="37"/>
      <c r="AB243" s="37"/>
      <c r="AC243" s="72"/>
      <c r="AD243" s="37"/>
      <c r="AN243" s="50"/>
      <c r="AO243" s="50"/>
      <c r="AP243" s="50"/>
      <c r="AQ243" s="50"/>
      <c r="AR243" s="50"/>
      <c r="AS243" s="51"/>
      <c r="AT243" s="50"/>
      <c r="AU243" s="50"/>
      <c r="AV243" s="73"/>
      <c r="AW243" s="50"/>
      <c r="AX243" s="50"/>
    </row>
    <row r="244" spans="14:50" x14ac:dyDescent="0.3">
      <c r="N244" s="50"/>
      <c r="O244" s="50"/>
      <c r="P244" s="50"/>
      <c r="Q244" s="50"/>
      <c r="R244" s="50"/>
      <c r="S244" s="51"/>
      <c r="T244" s="50"/>
      <c r="U244" s="50"/>
      <c r="V244" s="73"/>
      <c r="W244" s="50"/>
      <c r="X244" s="50"/>
      <c r="Y244" s="37"/>
      <c r="Z244" s="37"/>
      <c r="AA244" s="37"/>
      <c r="AB244" s="37"/>
      <c r="AC244" s="72"/>
      <c r="AD244" s="37"/>
      <c r="AN244" s="50"/>
      <c r="AO244" s="50"/>
      <c r="AP244" s="50"/>
      <c r="AQ244" s="50"/>
      <c r="AR244" s="50"/>
      <c r="AS244" s="51"/>
      <c r="AT244" s="50"/>
      <c r="AU244" s="50"/>
      <c r="AV244" s="73"/>
      <c r="AW244" s="50"/>
      <c r="AX244" s="50"/>
    </row>
    <row r="245" spans="14:50" x14ac:dyDescent="0.3">
      <c r="N245" s="50"/>
      <c r="O245" s="50"/>
      <c r="P245" s="50"/>
      <c r="Q245" s="50"/>
      <c r="R245" s="50"/>
      <c r="S245" s="51"/>
      <c r="T245" s="50"/>
      <c r="U245" s="50"/>
      <c r="V245" s="73"/>
      <c r="W245" s="50"/>
      <c r="X245" s="50"/>
      <c r="Y245" s="37"/>
      <c r="Z245" s="37"/>
      <c r="AA245" s="37"/>
      <c r="AB245" s="37"/>
      <c r="AC245" s="72"/>
      <c r="AD245" s="37"/>
      <c r="AN245" s="50"/>
      <c r="AO245" s="50"/>
      <c r="AP245" s="50"/>
      <c r="AQ245" s="50"/>
      <c r="AR245" s="50"/>
      <c r="AS245" s="51"/>
      <c r="AT245" s="50"/>
      <c r="AU245" s="50"/>
      <c r="AV245" s="73"/>
      <c r="AW245" s="50"/>
      <c r="AX245" s="50"/>
    </row>
    <row r="246" spans="14:50" x14ac:dyDescent="0.3">
      <c r="N246" s="50"/>
      <c r="O246" s="50"/>
      <c r="P246" s="50"/>
      <c r="Q246" s="50"/>
      <c r="R246" s="50"/>
      <c r="S246" s="51"/>
      <c r="T246" s="50"/>
      <c r="U246" s="50"/>
      <c r="V246" s="73"/>
      <c r="W246" s="50"/>
      <c r="X246" s="50"/>
      <c r="Y246" s="37"/>
      <c r="Z246" s="37"/>
      <c r="AA246" s="37"/>
      <c r="AB246" s="37"/>
      <c r="AC246" s="72"/>
      <c r="AD246" s="37"/>
      <c r="AN246" s="50"/>
      <c r="AO246" s="50"/>
      <c r="AP246" s="50"/>
      <c r="AQ246" s="50"/>
      <c r="AR246" s="50"/>
      <c r="AS246" s="51"/>
      <c r="AT246" s="50"/>
      <c r="AU246" s="50"/>
      <c r="AV246" s="73"/>
      <c r="AW246" s="50"/>
      <c r="AX246" s="50"/>
    </row>
    <row r="247" spans="14:50" x14ac:dyDescent="0.3">
      <c r="N247" s="50"/>
      <c r="O247" s="50"/>
      <c r="P247" s="50"/>
      <c r="Q247" s="50"/>
      <c r="R247" s="50"/>
      <c r="S247" s="51"/>
      <c r="T247" s="50"/>
      <c r="U247" s="50"/>
      <c r="V247" s="73"/>
      <c r="W247" s="50"/>
      <c r="X247" s="50"/>
      <c r="Y247" s="37"/>
      <c r="Z247" s="37"/>
      <c r="AA247" s="37"/>
      <c r="AB247" s="37"/>
      <c r="AC247" s="72"/>
      <c r="AD247" s="37"/>
      <c r="AN247" s="50"/>
      <c r="AO247" s="50"/>
      <c r="AP247" s="50"/>
      <c r="AQ247" s="50"/>
      <c r="AR247" s="50"/>
      <c r="AS247" s="51"/>
      <c r="AT247" s="50"/>
      <c r="AU247" s="50"/>
      <c r="AV247" s="73"/>
      <c r="AW247" s="50"/>
      <c r="AX247" s="50"/>
    </row>
    <row r="248" spans="14:50" x14ac:dyDescent="0.3">
      <c r="N248" s="50"/>
      <c r="O248" s="50"/>
      <c r="P248" s="50"/>
      <c r="Q248" s="50"/>
      <c r="R248" s="50"/>
      <c r="S248" s="51"/>
      <c r="T248" s="50"/>
      <c r="U248" s="50"/>
      <c r="V248" s="73"/>
      <c r="W248" s="50"/>
      <c r="X248" s="50"/>
      <c r="Y248" s="37"/>
      <c r="Z248" s="37"/>
      <c r="AA248" s="37"/>
      <c r="AB248" s="37"/>
      <c r="AC248" s="72"/>
      <c r="AD248" s="37"/>
      <c r="AN248" s="50"/>
      <c r="AO248" s="50"/>
      <c r="AP248" s="50"/>
      <c r="AQ248" s="50"/>
      <c r="AR248" s="50"/>
      <c r="AS248" s="51"/>
      <c r="AT248" s="50"/>
      <c r="AU248" s="50"/>
      <c r="AV248" s="73"/>
      <c r="AW248" s="50"/>
      <c r="AX248" s="50"/>
    </row>
    <row r="249" spans="14:50" x14ac:dyDescent="0.3">
      <c r="N249" s="50"/>
      <c r="O249" s="50"/>
      <c r="P249" s="50"/>
      <c r="Q249" s="50"/>
      <c r="R249" s="50"/>
      <c r="S249" s="51"/>
      <c r="T249" s="50"/>
      <c r="U249" s="50"/>
      <c r="V249" s="73"/>
      <c r="W249" s="50"/>
      <c r="X249" s="50"/>
      <c r="Y249" s="37"/>
      <c r="Z249" s="37"/>
      <c r="AA249" s="37"/>
      <c r="AB249" s="37"/>
      <c r="AC249" s="72"/>
      <c r="AD249" s="37"/>
      <c r="AN249" s="50"/>
      <c r="AO249" s="50"/>
      <c r="AP249" s="50"/>
      <c r="AQ249" s="50"/>
      <c r="AR249" s="50"/>
      <c r="AS249" s="51"/>
      <c r="AT249" s="50"/>
      <c r="AU249" s="50"/>
      <c r="AV249" s="73"/>
      <c r="AW249" s="50"/>
      <c r="AX249" s="50"/>
    </row>
    <row r="250" spans="14:50" x14ac:dyDescent="0.3">
      <c r="N250" s="50"/>
      <c r="O250" s="50"/>
      <c r="P250" s="50"/>
      <c r="Q250" s="50"/>
      <c r="R250" s="50"/>
      <c r="S250" s="51"/>
      <c r="T250" s="50"/>
      <c r="U250" s="50"/>
      <c r="V250" s="73"/>
      <c r="W250" s="50"/>
      <c r="X250" s="50"/>
      <c r="Y250" s="37"/>
      <c r="Z250" s="37"/>
      <c r="AA250" s="37"/>
      <c r="AB250" s="37"/>
      <c r="AC250" s="72"/>
      <c r="AD250" s="37"/>
      <c r="AN250" s="50"/>
      <c r="AO250" s="50"/>
      <c r="AP250" s="50"/>
      <c r="AQ250" s="50"/>
      <c r="AR250" s="50"/>
      <c r="AS250" s="51"/>
      <c r="AT250" s="50"/>
      <c r="AU250" s="50"/>
      <c r="AV250" s="73"/>
      <c r="AW250" s="50"/>
      <c r="AX250" s="50"/>
    </row>
    <row r="251" spans="14:50" x14ac:dyDescent="0.3">
      <c r="N251" s="50"/>
      <c r="O251" s="50"/>
      <c r="P251" s="50"/>
      <c r="Q251" s="50"/>
      <c r="R251" s="50"/>
      <c r="S251" s="51"/>
      <c r="T251" s="50"/>
      <c r="U251" s="50"/>
      <c r="V251" s="73"/>
      <c r="W251" s="50"/>
      <c r="X251" s="50"/>
      <c r="Y251" s="37"/>
      <c r="Z251" s="37"/>
      <c r="AA251" s="37"/>
      <c r="AB251" s="37"/>
      <c r="AC251" s="72"/>
      <c r="AD251" s="37"/>
      <c r="AN251" s="50"/>
      <c r="AO251" s="50"/>
      <c r="AP251" s="50"/>
      <c r="AQ251" s="50"/>
      <c r="AR251" s="50"/>
      <c r="AS251" s="51"/>
      <c r="AT251" s="50"/>
      <c r="AU251" s="50"/>
      <c r="AV251" s="73"/>
      <c r="AW251" s="50"/>
      <c r="AX251" s="50"/>
    </row>
    <row r="252" spans="14:50" x14ac:dyDescent="0.3">
      <c r="N252" s="50"/>
      <c r="O252" s="50"/>
      <c r="P252" s="50"/>
      <c r="Q252" s="50"/>
      <c r="R252" s="50"/>
      <c r="S252" s="51"/>
      <c r="T252" s="50"/>
      <c r="U252" s="50"/>
      <c r="V252" s="73"/>
      <c r="W252" s="50"/>
      <c r="X252" s="50"/>
      <c r="Y252" s="37"/>
      <c r="Z252" s="37"/>
      <c r="AA252" s="37"/>
      <c r="AB252" s="37"/>
      <c r="AC252" s="72"/>
      <c r="AD252" s="37"/>
      <c r="AN252" s="50"/>
      <c r="AO252" s="50"/>
      <c r="AP252" s="50"/>
      <c r="AQ252" s="50"/>
      <c r="AR252" s="50"/>
      <c r="AS252" s="51"/>
      <c r="AT252" s="50"/>
      <c r="AU252" s="50"/>
      <c r="AV252" s="73"/>
      <c r="AW252" s="50"/>
      <c r="AX252" s="50"/>
    </row>
    <row r="253" spans="14:50" x14ac:dyDescent="0.3">
      <c r="N253" s="50"/>
      <c r="O253" s="50"/>
      <c r="P253" s="50"/>
      <c r="Q253" s="50"/>
      <c r="R253" s="50"/>
      <c r="S253" s="51"/>
      <c r="T253" s="50"/>
      <c r="U253" s="50"/>
      <c r="V253" s="73"/>
      <c r="W253" s="50"/>
      <c r="X253" s="50"/>
      <c r="Y253" s="37"/>
      <c r="Z253" s="37"/>
      <c r="AA253" s="37"/>
      <c r="AB253" s="37"/>
      <c r="AC253" s="72"/>
      <c r="AD253" s="37"/>
      <c r="AN253" s="50"/>
      <c r="AO253" s="50"/>
      <c r="AP253" s="50"/>
      <c r="AQ253" s="50"/>
      <c r="AR253" s="50"/>
      <c r="AS253" s="51"/>
      <c r="AT253" s="50"/>
      <c r="AU253" s="50"/>
      <c r="AV253" s="73"/>
      <c r="AW253" s="50"/>
      <c r="AX253" s="50"/>
    </row>
    <row r="254" spans="14:50" x14ac:dyDescent="0.3">
      <c r="N254" s="50"/>
      <c r="O254" s="50"/>
      <c r="P254" s="50"/>
      <c r="Q254" s="50"/>
      <c r="R254" s="50"/>
      <c r="S254" s="51"/>
      <c r="T254" s="50"/>
      <c r="U254" s="50"/>
      <c r="V254" s="73"/>
      <c r="W254" s="50"/>
      <c r="X254" s="50"/>
      <c r="Y254" s="37"/>
      <c r="Z254" s="37"/>
      <c r="AA254" s="37"/>
      <c r="AB254" s="37"/>
      <c r="AC254" s="72"/>
      <c r="AD254" s="37"/>
      <c r="AN254" s="50"/>
      <c r="AO254" s="50"/>
      <c r="AP254" s="50"/>
      <c r="AQ254" s="50"/>
      <c r="AR254" s="50"/>
      <c r="AS254" s="51"/>
      <c r="AT254" s="50"/>
      <c r="AU254" s="50"/>
      <c r="AV254" s="73"/>
      <c r="AW254" s="50"/>
      <c r="AX254" s="50"/>
    </row>
    <row r="255" spans="14:50" x14ac:dyDescent="0.3">
      <c r="N255" s="50"/>
      <c r="O255" s="50"/>
      <c r="P255" s="50"/>
      <c r="Q255" s="50"/>
      <c r="R255" s="50"/>
      <c r="S255" s="51"/>
      <c r="T255" s="50"/>
      <c r="U255" s="50"/>
      <c r="V255" s="73"/>
      <c r="W255" s="50"/>
      <c r="X255" s="50"/>
      <c r="Y255" s="37"/>
      <c r="Z255" s="37"/>
      <c r="AA255" s="37"/>
      <c r="AB255" s="37"/>
      <c r="AC255" s="72"/>
      <c r="AD255" s="37"/>
      <c r="AN255" s="50"/>
      <c r="AO255" s="50"/>
      <c r="AP255" s="50"/>
      <c r="AQ255" s="50"/>
      <c r="AR255" s="50"/>
      <c r="AS255" s="51"/>
      <c r="AT255" s="50"/>
      <c r="AU255" s="50"/>
      <c r="AV255" s="73"/>
      <c r="AW255" s="50"/>
      <c r="AX255" s="50"/>
    </row>
    <row r="256" spans="14:50" x14ac:dyDescent="0.3">
      <c r="N256" s="50"/>
      <c r="O256" s="50"/>
      <c r="P256" s="50"/>
      <c r="Q256" s="50"/>
      <c r="R256" s="50"/>
      <c r="S256" s="51"/>
      <c r="T256" s="50"/>
      <c r="U256" s="50"/>
      <c r="V256" s="73"/>
      <c r="W256" s="50"/>
      <c r="X256" s="50"/>
      <c r="Y256" s="37"/>
      <c r="Z256" s="37"/>
      <c r="AA256" s="37"/>
      <c r="AB256" s="37"/>
      <c r="AC256" s="72"/>
      <c r="AD256" s="37"/>
      <c r="AN256" s="50"/>
      <c r="AO256" s="50"/>
      <c r="AP256" s="50"/>
      <c r="AQ256" s="50"/>
      <c r="AR256" s="50"/>
      <c r="AS256" s="51"/>
      <c r="AT256" s="50"/>
      <c r="AU256" s="50"/>
      <c r="AV256" s="73"/>
      <c r="AW256" s="50"/>
      <c r="AX256" s="50"/>
    </row>
    <row r="257" spans="14:50" x14ac:dyDescent="0.3">
      <c r="N257" s="50"/>
      <c r="O257" s="50"/>
      <c r="P257" s="50"/>
      <c r="Q257" s="50"/>
      <c r="R257" s="50"/>
      <c r="S257" s="51"/>
      <c r="T257" s="50"/>
      <c r="U257" s="50"/>
      <c r="V257" s="73"/>
      <c r="W257" s="50"/>
      <c r="X257" s="50"/>
      <c r="Y257" s="37"/>
      <c r="Z257" s="37"/>
      <c r="AA257" s="37"/>
      <c r="AB257" s="37"/>
      <c r="AC257" s="72"/>
      <c r="AD257" s="37"/>
      <c r="AN257" s="50"/>
      <c r="AO257" s="50"/>
      <c r="AP257" s="50"/>
      <c r="AQ257" s="50"/>
      <c r="AR257" s="50"/>
      <c r="AS257" s="51"/>
      <c r="AT257" s="50"/>
      <c r="AU257" s="50"/>
      <c r="AV257" s="73"/>
      <c r="AW257" s="50"/>
      <c r="AX257" s="50"/>
    </row>
    <row r="258" spans="14:50" x14ac:dyDescent="0.3">
      <c r="N258" s="50"/>
      <c r="O258" s="50"/>
      <c r="P258" s="50"/>
      <c r="Q258" s="50"/>
      <c r="R258" s="50"/>
      <c r="S258" s="51"/>
      <c r="T258" s="50"/>
      <c r="U258" s="50"/>
      <c r="V258" s="73"/>
      <c r="W258" s="50"/>
      <c r="X258" s="50"/>
      <c r="Y258" s="37"/>
      <c r="Z258" s="37"/>
      <c r="AA258" s="37"/>
      <c r="AB258" s="37"/>
      <c r="AC258" s="72"/>
      <c r="AD258" s="37"/>
      <c r="AN258" s="50"/>
      <c r="AO258" s="50"/>
      <c r="AP258" s="50"/>
      <c r="AQ258" s="50"/>
      <c r="AR258" s="50"/>
      <c r="AS258" s="51"/>
      <c r="AT258" s="50"/>
      <c r="AU258" s="50"/>
      <c r="AV258" s="73"/>
      <c r="AW258" s="50"/>
      <c r="AX258" s="50"/>
    </row>
    <row r="259" spans="14:50" x14ac:dyDescent="0.3">
      <c r="N259" s="50"/>
      <c r="O259" s="50"/>
      <c r="P259" s="50"/>
      <c r="Q259" s="50"/>
      <c r="R259" s="50"/>
      <c r="S259" s="51"/>
      <c r="T259" s="50"/>
      <c r="U259" s="50"/>
      <c r="V259" s="73"/>
      <c r="W259" s="50"/>
      <c r="X259" s="50"/>
      <c r="Y259" s="37"/>
      <c r="Z259" s="37"/>
      <c r="AA259" s="37"/>
      <c r="AB259" s="37"/>
      <c r="AC259" s="72"/>
      <c r="AD259" s="37"/>
      <c r="AN259" s="50"/>
      <c r="AO259" s="50"/>
      <c r="AP259" s="50"/>
      <c r="AQ259" s="50"/>
      <c r="AR259" s="50"/>
      <c r="AS259" s="51"/>
      <c r="AT259" s="50"/>
      <c r="AU259" s="50"/>
      <c r="AV259" s="73"/>
      <c r="AW259" s="50"/>
      <c r="AX259" s="50"/>
    </row>
    <row r="260" spans="14:50" x14ac:dyDescent="0.3">
      <c r="N260" s="50"/>
      <c r="O260" s="50"/>
      <c r="P260" s="50"/>
      <c r="Q260" s="50"/>
      <c r="R260" s="50"/>
      <c r="S260" s="51"/>
      <c r="T260" s="50"/>
      <c r="U260" s="50"/>
      <c r="V260" s="73"/>
      <c r="W260" s="50"/>
      <c r="X260" s="50"/>
      <c r="Y260" s="37"/>
      <c r="Z260" s="37"/>
      <c r="AA260" s="37"/>
      <c r="AB260" s="37"/>
      <c r="AC260" s="72"/>
      <c r="AD260" s="37"/>
      <c r="AN260" s="50"/>
      <c r="AO260" s="50"/>
      <c r="AP260" s="50"/>
      <c r="AQ260" s="50"/>
      <c r="AR260" s="50"/>
      <c r="AS260" s="51"/>
      <c r="AT260" s="50"/>
      <c r="AU260" s="50"/>
      <c r="AV260" s="73"/>
      <c r="AW260" s="50"/>
      <c r="AX260" s="50"/>
    </row>
    <row r="261" spans="14:50" x14ac:dyDescent="0.3">
      <c r="N261" s="50"/>
      <c r="O261" s="50"/>
      <c r="P261" s="50"/>
      <c r="Q261" s="50"/>
      <c r="R261" s="50"/>
      <c r="S261" s="51"/>
      <c r="T261" s="50"/>
      <c r="U261" s="50"/>
      <c r="V261" s="73"/>
      <c r="W261" s="50"/>
      <c r="X261" s="50"/>
      <c r="Y261" s="37"/>
      <c r="Z261" s="37"/>
      <c r="AA261" s="37"/>
      <c r="AB261" s="37"/>
      <c r="AC261" s="72"/>
      <c r="AD261" s="37"/>
      <c r="AN261" s="50"/>
      <c r="AO261" s="50"/>
      <c r="AP261" s="50"/>
      <c r="AQ261" s="50"/>
      <c r="AR261" s="50"/>
      <c r="AS261" s="51"/>
      <c r="AT261" s="50"/>
      <c r="AU261" s="50"/>
      <c r="AV261" s="73"/>
      <c r="AW261" s="50"/>
      <c r="AX261" s="50"/>
    </row>
    <row r="262" spans="14:50" x14ac:dyDescent="0.3">
      <c r="N262" s="50"/>
      <c r="O262" s="50"/>
      <c r="P262" s="50"/>
      <c r="Q262" s="50"/>
      <c r="R262" s="50"/>
      <c r="S262" s="51"/>
      <c r="T262" s="50"/>
      <c r="U262" s="50"/>
      <c r="V262" s="73"/>
      <c r="W262" s="50"/>
      <c r="X262" s="50"/>
      <c r="Y262" s="37"/>
      <c r="Z262" s="37"/>
      <c r="AA262" s="37"/>
      <c r="AB262" s="37"/>
      <c r="AC262" s="72"/>
      <c r="AD262" s="37"/>
      <c r="AN262" s="50"/>
      <c r="AO262" s="50"/>
      <c r="AP262" s="50"/>
      <c r="AQ262" s="50"/>
      <c r="AR262" s="50"/>
      <c r="AS262" s="51"/>
      <c r="AT262" s="50"/>
      <c r="AU262" s="50"/>
      <c r="AV262" s="73"/>
      <c r="AW262" s="50"/>
      <c r="AX262" s="50"/>
    </row>
    <row r="263" spans="14:50" x14ac:dyDescent="0.3">
      <c r="N263" s="50"/>
      <c r="O263" s="50"/>
      <c r="P263" s="50"/>
      <c r="Q263" s="50"/>
      <c r="R263" s="50"/>
      <c r="S263" s="51"/>
      <c r="T263" s="50"/>
      <c r="U263" s="50"/>
      <c r="V263" s="73"/>
      <c r="W263" s="50"/>
      <c r="X263" s="50"/>
      <c r="Y263" s="37"/>
      <c r="Z263" s="37"/>
      <c r="AA263" s="37"/>
      <c r="AB263" s="37"/>
      <c r="AC263" s="72"/>
      <c r="AD263" s="37"/>
      <c r="AN263" s="50"/>
      <c r="AO263" s="50"/>
      <c r="AP263" s="50"/>
      <c r="AQ263" s="50"/>
      <c r="AR263" s="50"/>
      <c r="AS263" s="51"/>
      <c r="AT263" s="50"/>
      <c r="AU263" s="50"/>
      <c r="AV263" s="73"/>
      <c r="AW263" s="50"/>
      <c r="AX263" s="50"/>
    </row>
    <row r="264" spans="14:50" x14ac:dyDescent="0.3">
      <c r="N264" s="50"/>
      <c r="O264" s="50"/>
      <c r="P264" s="50"/>
      <c r="Q264" s="50"/>
      <c r="R264" s="50"/>
      <c r="S264" s="51"/>
      <c r="T264" s="50"/>
      <c r="U264" s="50"/>
      <c r="V264" s="73"/>
      <c r="W264" s="50"/>
      <c r="X264" s="50"/>
      <c r="Y264" s="37"/>
      <c r="Z264" s="37"/>
      <c r="AA264" s="37"/>
      <c r="AB264" s="37"/>
      <c r="AC264" s="72"/>
      <c r="AD264" s="37"/>
      <c r="AN264" s="50"/>
      <c r="AO264" s="50"/>
      <c r="AP264" s="50"/>
      <c r="AQ264" s="50"/>
      <c r="AR264" s="50"/>
      <c r="AS264" s="51"/>
      <c r="AT264" s="50"/>
      <c r="AU264" s="50"/>
      <c r="AV264" s="73"/>
      <c r="AW264" s="50"/>
      <c r="AX264" s="50"/>
    </row>
    <row r="265" spans="14:50" x14ac:dyDescent="0.3">
      <c r="N265" s="50"/>
      <c r="O265" s="50"/>
      <c r="P265" s="50"/>
      <c r="Q265" s="50"/>
      <c r="R265" s="50"/>
      <c r="S265" s="51"/>
      <c r="T265" s="50"/>
      <c r="U265" s="50"/>
      <c r="V265" s="73"/>
      <c r="W265" s="50"/>
      <c r="X265" s="50"/>
      <c r="Y265" s="37"/>
      <c r="Z265" s="37"/>
      <c r="AA265" s="37"/>
      <c r="AB265" s="37"/>
      <c r="AC265" s="72"/>
      <c r="AD265" s="37"/>
      <c r="AN265" s="50"/>
      <c r="AO265" s="50"/>
      <c r="AP265" s="50"/>
      <c r="AQ265" s="50"/>
      <c r="AR265" s="50"/>
      <c r="AS265" s="51"/>
      <c r="AT265" s="50"/>
      <c r="AU265" s="50"/>
      <c r="AV265" s="73"/>
      <c r="AW265" s="50"/>
      <c r="AX265" s="50"/>
    </row>
    <row r="266" spans="14:50" x14ac:dyDescent="0.3">
      <c r="N266" s="50"/>
      <c r="O266" s="50"/>
      <c r="P266" s="50"/>
      <c r="Q266" s="50"/>
      <c r="R266" s="50"/>
      <c r="S266" s="51"/>
      <c r="T266" s="50"/>
      <c r="U266" s="50"/>
      <c r="V266" s="73"/>
      <c r="W266" s="50"/>
      <c r="X266" s="50"/>
      <c r="Y266" s="37"/>
      <c r="Z266" s="37"/>
      <c r="AA266" s="37"/>
      <c r="AB266" s="37"/>
      <c r="AC266" s="72"/>
      <c r="AD266" s="37"/>
      <c r="AN266" s="50"/>
      <c r="AO266" s="50"/>
      <c r="AP266" s="50"/>
      <c r="AQ266" s="50"/>
      <c r="AR266" s="50"/>
      <c r="AS266" s="51"/>
      <c r="AT266" s="50"/>
      <c r="AU266" s="50"/>
      <c r="AV266" s="73"/>
      <c r="AW266" s="50"/>
      <c r="AX266" s="50"/>
    </row>
    <row r="267" spans="14:50" x14ac:dyDescent="0.3">
      <c r="N267" s="50"/>
      <c r="O267" s="50"/>
      <c r="P267" s="50"/>
      <c r="Q267" s="50"/>
      <c r="R267" s="50"/>
      <c r="S267" s="51"/>
      <c r="T267" s="50"/>
      <c r="U267" s="50"/>
      <c r="V267" s="73"/>
      <c r="W267" s="50"/>
      <c r="X267" s="50"/>
      <c r="Y267" s="37"/>
      <c r="Z267" s="37"/>
      <c r="AA267" s="37"/>
      <c r="AB267" s="37"/>
      <c r="AC267" s="72"/>
      <c r="AD267" s="37"/>
      <c r="AN267" s="50"/>
      <c r="AO267" s="50"/>
      <c r="AP267" s="50"/>
      <c r="AQ267" s="50"/>
      <c r="AR267" s="50"/>
      <c r="AS267" s="51"/>
      <c r="AT267" s="50"/>
      <c r="AU267" s="50"/>
      <c r="AV267" s="73"/>
      <c r="AW267" s="50"/>
      <c r="AX267" s="50"/>
    </row>
    <row r="268" spans="14:50" x14ac:dyDescent="0.3">
      <c r="N268" s="50"/>
      <c r="O268" s="50"/>
      <c r="P268" s="50"/>
      <c r="Q268" s="50"/>
      <c r="R268" s="50"/>
      <c r="S268" s="51"/>
      <c r="T268" s="50"/>
      <c r="U268" s="50"/>
      <c r="V268" s="73"/>
      <c r="W268" s="50"/>
      <c r="X268" s="50"/>
      <c r="Y268" s="37"/>
      <c r="Z268" s="37"/>
      <c r="AA268" s="37"/>
      <c r="AB268" s="37"/>
      <c r="AC268" s="72"/>
      <c r="AD268" s="37"/>
      <c r="AN268" s="50"/>
      <c r="AO268" s="50"/>
      <c r="AP268" s="50"/>
      <c r="AQ268" s="50"/>
      <c r="AR268" s="50"/>
      <c r="AS268" s="51"/>
      <c r="AT268" s="50"/>
      <c r="AU268" s="50"/>
      <c r="AV268" s="73"/>
      <c r="AW268" s="50"/>
      <c r="AX268" s="50"/>
    </row>
    <row r="269" spans="14:50" x14ac:dyDescent="0.3">
      <c r="N269" s="50"/>
      <c r="O269" s="50"/>
      <c r="P269" s="50"/>
      <c r="Q269" s="50"/>
      <c r="R269" s="50"/>
      <c r="S269" s="51"/>
      <c r="T269" s="50"/>
      <c r="U269" s="50"/>
      <c r="V269" s="73"/>
      <c r="W269" s="50"/>
      <c r="X269" s="50"/>
      <c r="Y269" s="37"/>
      <c r="Z269" s="37"/>
      <c r="AA269" s="37"/>
      <c r="AB269" s="37"/>
      <c r="AC269" s="72"/>
      <c r="AD269" s="37"/>
      <c r="AN269" s="50"/>
      <c r="AO269" s="50"/>
      <c r="AP269" s="50"/>
      <c r="AQ269" s="50"/>
      <c r="AR269" s="50"/>
      <c r="AS269" s="51"/>
      <c r="AT269" s="50"/>
      <c r="AU269" s="50"/>
      <c r="AV269" s="73"/>
      <c r="AW269" s="50"/>
      <c r="AX269" s="50"/>
    </row>
    <row r="270" spans="14:50" x14ac:dyDescent="0.3">
      <c r="N270" s="50"/>
      <c r="O270" s="50"/>
      <c r="P270" s="50"/>
      <c r="Q270" s="50"/>
      <c r="R270" s="50"/>
      <c r="S270" s="51"/>
      <c r="T270" s="50"/>
      <c r="U270" s="50"/>
      <c r="V270" s="73"/>
      <c r="W270" s="50"/>
      <c r="X270" s="50"/>
      <c r="Y270" s="37"/>
      <c r="Z270" s="37"/>
      <c r="AA270" s="37"/>
      <c r="AB270" s="37"/>
      <c r="AC270" s="72"/>
      <c r="AD270" s="37"/>
      <c r="AN270" s="50"/>
      <c r="AO270" s="50"/>
      <c r="AP270" s="50"/>
      <c r="AQ270" s="50"/>
      <c r="AR270" s="50"/>
      <c r="AS270" s="51"/>
      <c r="AT270" s="50"/>
      <c r="AU270" s="50"/>
      <c r="AV270" s="73"/>
      <c r="AW270" s="50"/>
      <c r="AX270" s="50"/>
    </row>
    <row r="271" spans="14:50" x14ac:dyDescent="0.3">
      <c r="N271" s="50"/>
      <c r="O271" s="50"/>
      <c r="P271" s="50"/>
      <c r="Q271" s="50"/>
      <c r="R271" s="50"/>
      <c r="S271" s="51"/>
      <c r="T271" s="50"/>
      <c r="U271" s="50"/>
      <c r="V271" s="73"/>
      <c r="W271" s="50"/>
      <c r="X271" s="50"/>
      <c r="Y271" s="37"/>
      <c r="Z271" s="37"/>
      <c r="AA271" s="37"/>
      <c r="AB271" s="37"/>
      <c r="AC271" s="72"/>
      <c r="AD271" s="37"/>
      <c r="AN271" s="50"/>
      <c r="AO271" s="50"/>
      <c r="AP271" s="50"/>
      <c r="AQ271" s="50"/>
      <c r="AR271" s="50"/>
      <c r="AS271" s="51"/>
      <c r="AT271" s="50"/>
      <c r="AU271" s="50"/>
      <c r="AV271" s="73"/>
      <c r="AW271" s="50"/>
      <c r="AX271" s="50"/>
    </row>
    <row r="272" spans="14:50" x14ac:dyDescent="0.3">
      <c r="N272" s="50"/>
      <c r="O272" s="50"/>
      <c r="P272" s="50"/>
      <c r="Q272" s="50"/>
      <c r="R272" s="50"/>
      <c r="S272" s="51"/>
      <c r="T272" s="50"/>
      <c r="U272" s="50"/>
      <c r="V272" s="73"/>
      <c r="W272" s="50"/>
      <c r="X272" s="50"/>
      <c r="Y272" s="37"/>
      <c r="Z272" s="37"/>
      <c r="AA272" s="37"/>
      <c r="AB272" s="37"/>
      <c r="AC272" s="72"/>
      <c r="AD272" s="37"/>
      <c r="AN272" s="50"/>
      <c r="AO272" s="50"/>
      <c r="AP272" s="50"/>
      <c r="AQ272" s="50"/>
      <c r="AR272" s="50"/>
      <c r="AS272" s="51"/>
      <c r="AT272" s="50"/>
      <c r="AU272" s="50"/>
      <c r="AV272" s="73"/>
      <c r="AW272" s="50"/>
      <c r="AX272" s="50"/>
    </row>
    <row r="273" spans="14:50" x14ac:dyDescent="0.3">
      <c r="N273" s="50"/>
      <c r="O273" s="50"/>
      <c r="P273" s="50"/>
      <c r="Q273" s="50"/>
      <c r="R273" s="50"/>
      <c r="S273" s="51"/>
      <c r="T273" s="50"/>
      <c r="U273" s="50"/>
      <c r="V273" s="73"/>
      <c r="W273" s="50"/>
      <c r="X273" s="50"/>
      <c r="Y273" s="37"/>
      <c r="Z273" s="37"/>
      <c r="AA273" s="37"/>
      <c r="AB273" s="37"/>
      <c r="AC273" s="72"/>
      <c r="AD273" s="37"/>
      <c r="AN273" s="50"/>
      <c r="AO273" s="50"/>
      <c r="AP273" s="50"/>
      <c r="AQ273" s="50"/>
      <c r="AR273" s="50"/>
      <c r="AS273" s="51"/>
      <c r="AT273" s="50"/>
      <c r="AU273" s="50"/>
      <c r="AV273" s="73"/>
      <c r="AW273" s="50"/>
      <c r="AX273" s="50"/>
    </row>
    <row r="274" spans="14:50" x14ac:dyDescent="0.3">
      <c r="N274" s="50"/>
      <c r="O274" s="50"/>
      <c r="P274" s="50"/>
      <c r="Q274" s="50"/>
      <c r="R274" s="50"/>
      <c r="S274" s="51"/>
      <c r="T274" s="50"/>
      <c r="U274" s="50"/>
      <c r="V274" s="73"/>
      <c r="W274" s="50"/>
      <c r="X274" s="50"/>
      <c r="Y274" s="37"/>
      <c r="Z274" s="37"/>
      <c r="AA274" s="37"/>
      <c r="AB274" s="37"/>
      <c r="AC274" s="72"/>
      <c r="AD274" s="37"/>
      <c r="AN274" s="50"/>
      <c r="AO274" s="50"/>
      <c r="AP274" s="50"/>
      <c r="AQ274" s="50"/>
      <c r="AR274" s="50"/>
      <c r="AS274" s="51"/>
      <c r="AT274" s="50"/>
      <c r="AU274" s="50"/>
      <c r="AV274" s="73"/>
      <c r="AW274" s="50"/>
      <c r="AX274" s="50"/>
    </row>
    <row r="275" spans="14:50" x14ac:dyDescent="0.3">
      <c r="N275" s="50"/>
      <c r="O275" s="50"/>
      <c r="P275" s="50"/>
      <c r="Q275" s="50"/>
      <c r="R275" s="50"/>
      <c r="S275" s="51"/>
      <c r="T275" s="50"/>
      <c r="U275" s="50"/>
      <c r="V275" s="73"/>
      <c r="W275" s="50"/>
      <c r="X275" s="50"/>
      <c r="Y275" s="37"/>
      <c r="Z275" s="37"/>
      <c r="AA275" s="37"/>
      <c r="AB275" s="37"/>
      <c r="AC275" s="72"/>
      <c r="AD275" s="37"/>
      <c r="AN275" s="50"/>
      <c r="AO275" s="50"/>
      <c r="AP275" s="50"/>
      <c r="AQ275" s="50"/>
      <c r="AR275" s="50"/>
      <c r="AS275" s="51"/>
      <c r="AT275" s="50"/>
      <c r="AU275" s="50"/>
      <c r="AV275" s="73"/>
      <c r="AW275" s="50"/>
      <c r="AX275" s="50"/>
    </row>
    <row r="276" spans="14:50" x14ac:dyDescent="0.3">
      <c r="N276" s="50"/>
      <c r="O276" s="50"/>
      <c r="P276" s="50"/>
      <c r="Q276" s="50"/>
      <c r="R276" s="50"/>
      <c r="S276" s="51"/>
      <c r="T276" s="50"/>
      <c r="U276" s="50"/>
      <c r="V276" s="73"/>
      <c r="W276" s="50"/>
      <c r="X276" s="50"/>
      <c r="Y276" s="37"/>
      <c r="Z276" s="37"/>
      <c r="AA276" s="37"/>
      <c r="AB276" s="37"/>
      <c r="AC276" s="72"/>
      <c r="AD276" s="37"/>
      <c r="AN276" s="50"/>
      <c r="AO276" s="50"/>
      <c r="AP276" s="50"/>
      <c r="AQ276" s="50"/>
      <c r="AR276" s="50"/>
      <c r="AS276" s="51"/>
      <c r="AT276" s="50"/>
      <c r="AU276" s="50"/>
      <c r="AV276" s="73"/>
      <c r="AW276" s="50"/>
      <c r="AX276" s="50"/>
    </row>
    <row r="277" spans="14:50" x14ac:dyDescent="0.3">
      <c r="N277" s="50"/>
      <c r="O277" s="50"/>
      <c r="P277" s="50"/>
      <c r="Q277" s="50"/>
      <c r="R277" s="50"/>
      <c r="S277" s="51"/>
      <c r="T277" s="50"/>
      <c r="U277" s="50"/>
      <c r="V277" s="73"/>
      <c r="W277" s="50"/>
      <c r="X277" s="50"/>
      <c r="Y277" s="37"/>
      <c r="Z277" s="37"/>
      <c r="AA277" s="37"/>
      <c r="AB277" s="37"/>
      <c r="AC277" s="72"/>
      <c r="AD277" s="37"/>
      <c r="AN277" s="50"/>
      <c r="AO277" s="50"/>
      <c r="AP277" s="50"/>
      <c r="AQ277" s="50"/>
      <c r="AR277" s="50"/>
      <c r="AS277" s="51"/>
      <c r="AT277" s="50"/>
      <c r="AU277" s="50"/>
      <c r="AV277" s="73"/>
      <c r="AW277" s="50"/>
      <c r="AX277" s="50"/>
    </row>
    <row r="278" spans="14:50" x14ac:dyDescent="0.3">
      <c r="N278" s="50"/>
      <c r="O278" s="50"/>
      <c r="P278" s="50"/>
      <c r="Q278" s="50"/>
      <c r="R278" s="50"/>
      <c r="S278" s="51"/>
      <c r="T278" s="50"/>
      <c r="U278" s="50"/>
      <c r="V278" s="73"/>
      <c r="W278" s="50"/>
      <c r="X278" s="50"/>
      <c r="Y278" s="37"/>
      <c r="Z278" s="37"/>
      <c r="AA278" s="37"/>
      <c r="AB278" s="37"/>
      <c r="AC278" s="72"/>
      <c r="AD278" s="37"/>
      <c r="AN278" s="50"/>
      <c r="AO278" s="50"/>
      <c r="AP278" s="50"/>
      <c r="AQ278" s="50"/>
      <c r="AR278" s="50"/>
      <c r="AS278" s="51"/>
      <c r="AT278" s="50"/>
      <c r="AU278" s="50"/>
      <c r="AV278" s="73"/>
      <c r="AW278" s="50"/>
      <c r="AX278" s="50"/>
    </row>
    <row r="279" spans="14:50" x14ac:dyDescent="0.3">
      <c r="N279" s="50"/>
      <c r="O279" s="50"/>
      <c r="P279" s="50"/>
      <c r="Q279" s="50"/>
      <c r="R279" s="50"/>
      <c r="S279" s="51"/>
      <c r="T279" s="50"/>
      <c r="U279" s="50"/>
      <c r="V279" s="73"/>
      <c r="W279" s="50"/>
      <c r="X279" s="50"/>
      <c r="Y279" s="37"/>
      <c r="Z279" s="37"/>
      <c r="AA279" s="37"/>
      <c r="AB279" s="37"/>
      <c r="AC279" s="72"/>
      <c r="AD279" s="37"/>
      <c r="AN279" s="50"/>
      <c r="AO279" s="50"/>
      <c r="AP279" s="50"/>
      <c r="AQ279" s="50"/>
      <c r="AR279" s="50"/>
      <c r="AS279" s="51"/>
      <c r="AT279" s="50"/>
      <c r="AU279" s="50"/>
      <c r="AV279" s="73"/>
      <c r="AW279" s="50"/>
      <c r="AX279" s="50"/>
    </row>
    <row r="280" spans="14:50" x14ac:dyDescent="0.3">
      <c r="N280" s="50"/>
      <c r="O280" s="50"/>
      <c r="P280" s="50"/>
      <c r="Q280" s="50"/>
      <c r="R280" s="50"/>
      <c r="S280" s="51"/>
      <c r="T280" s="50"/>
      <c r="U280" s="50"/>
      <c r="V280" s="73"/>
      <c r="W280" s="50"/>
      <c r="X280" s="50"/>
      <c r="Y280" s="37"/>
      <c r="Z280" s="37"/>
      <c r="AA280" s="37"/>
      <c r="AB280" s="37"/>
      <c r="AC280" s="72"/>
      <c r="AD280" s="37"/>
      <c r="AN280" s="50"/>
      <c r="AO280" s="50"/>
      <c r="AP280" s="50"/>
      <c r="AQ280" s="50"/>
      <c r="AR280" s="50"/>
      <c r="AS280" s="51"/>
      <c r="AT280" s="50"/>
      <c r="AU280" s="50"/>
      <c r="AV280" s="73"/>
      <c r="AW280" s="50"/>
      <c r="AX280" s="50"/>
    </row>
    <row r="281" spans="14:50" x14ac:dyDescent="0.3">
      <c r="N281" s="50"/>
      <c r="O281" s="50"/>
      <c r="P281" s="50"/>
      <c r="Q281" s="50"/>
      <c r="R281" s="50"/>
      <c r="S281" s="51"/>
      <c r="T281" s="50"/>
      <c r="U281" s="50"/>
      <c r="V281" s="73"/>
      <c r="W281" s="50"/>
      <c r="X281" s="50"/>
      <c r="Y281" s="37"/>
      <c r="Z281" s="37"/>
      <c r="AA281" s="37"/>
      <c r="AB281" s="37"/>
      <c r="AC281" s="72"/>
      <c r="AD281" s="37"/>
      <c r="AN281" s="50"/>
      <c r="AO281" s="50"/>
      <c r="AP281" s="50"/>
      <c r="AQ281" s="50"/>
      <c r="AR281" s="50"/>
      <c r="AS281" s="51"/>
      <c r="AT281" s="50"/>
      <c r="AU281" s="50"/>
      <c r="AV281" s="73"/>
      <c r="AW281" s="50"/>
      <c r="AX281" s="50"/>
    </row>
    <row r="282" spans="14:50" x14ac:dyDescent="0.3">
      <c r="N282" s="50"/>
      <c r="O282" s="50"/>
      <c r="P282" s="50"/>
      <c r="Q282" s="50"/>
      <c r="R282" s="50"/>
      <c r="S282" s="51"/>
      <c r="T282" s="50"/>
      <c r="U282" s="50"/>
      <c r="V282" s="73"/>
      <c r="W282" s="50"/>
      <c r="X282" s="50"/>
      <c r="Y282" s="37"/>
      <c r="Z282" s="37"/>
      <c r="AA282" s="37"/>
      <c r="AB282" s="37"/>
      <c r="AC282" s="72"/>
      <c r="AD282" s="37"/>
      <c r="AN282" s="50"/>
      <c r="AO282" s="50"/>
      <c r="AP282" s="50"/>
      <c r="AQ282" s="50"/>
      <c r="AR282" s="50"/>
      <c r="AS282" s="51"/>
      <c r="AT282" s="50"/>
      <c r="AU282" s="50"/>
      <c r="AV282" s="73"/>
      <c r="AW282" s="50"/>
      <c r="AX282" s="50"/>
    </row>
    <row r="283" spans="14:50" x14ac:dyDescent="0.3">
      <c r="N283" s="50"/>
      <c r="O283" s="50"/>
      <c r="P283" s="50"/>
      <c r="Q283" s="50"/>
      <c r="R283" s="50"/>
      <c r="S283" s="51"/>
      <c r="T283" s="50"/>
      <c r="U283" s="50"/>
      <c r="V283" s="73"/>
      <c r="W283" s="50"/>
      <c r="X283" s="50"/>
      <c r="Y283" s="37"/>
      <c r="Z283" s="37"/>
      <c r="AA283" s="37"/>
      <c r="AB283" s="37"/>
      <c r="AC283" s="72"/>
      <c r="AD283" s="37"/>
      <c r="AN283" s="50"/>
      <c r="AO283" s="50"/>
      <c r="AP283" s="50"/>
      <c r="AQ283" s="50"/>
      <c r="AR283" s="50"/>
      <c r="AS283" s="51"/>
      <c r="AT283" s="50"/>
      <c r="AU283" s="50"/>
      <c r="AV283" s="73"/>
      <c r="AW283" s="50"/>
      <c r="AX283" s="50"/>
    </row>
    <row r="284" spans="14:50" x14ac:dyDescent="0.3">
      <c r="N284" s="50"/>
      <c r="O284" s="50"/>
      <c r="P284" s="50"/>
      <c r="Q284" s="50"/>
      <c r="R284" s="50"/>
      <c r="S284" s="51"/>
      <c r="T284" s="50"/>
      <c r="U284" s="50"/>
      <c r="V284" s="73"/>
      <c r="W284" s="50"/>
      <c r="X284" s="50"/>
      <c r="Y284" s="37"/>
      <c r="Z284" s="37"/>
      <c r="AA284" s="37"/>
      <c r="AB284" s="37"/>
      <c r="AC284" s="72"/>
      <c r="AD284" s="37"/>
      <c r="AN284" s="50"/>
      <c r="AO284" s="50"/>
      <c r="AP284" s="50"/>
      <c r="AQ284" s="50"/>
      <c r="AR284" s="50"/>
      <c r="AS284" s="51"/>
      <c r="AT284" s="50"/>
      <c r="AU284" s="50"/>
      <c r="AV284" s="73"/>
      <c r="AW284" s="50"/>
      <c r="AX284" s="50"/>
    </row>
    <row r="285" spans="14:50" x14ac:dyDescent="0.3">
      <c r="N285" s="50"/>
      <c r="O285" s="50"/>
      <c r="P285" s="50"/>
      <c r="Q285" s="50"/>
      <c r="R285" s="50"/>
      <c r="S285" s="51"/>
      <c r="T285" s="50"/>
      <c r="U285" s="50"/>
      <c r="V285" s="73"/>
      <c r="W285" s="50"/>
      <c r="X285" s="50"/>
      <c r="Y285" s="37"/>
      <c r="Z285" s="37"/>
      <c r="AA285" s="37"/>
      <c r="AB285" s="37"/>
      <c r="AC285" s="72"/>
      <c r="AD285" s="37"/>
      <c r="AN285" s="50"/>
      <c r="AO285" s="50"/>
      <c r="AP285" s="50"/>
      <c r="AQ285" s="50"/>
      <c r="AR285" s="50"/>
      <c r="AS285" s="51"/>
      <c r="AT285" s="50"/>
      <c r="AU285" s="50"/>
      <c r="AV285" s="73"/>
      <c r="AW285" s="50"/>
      <c r="AX285" s="50"/>
    </row>
    <row r="286" spans="14:50" x14ac:dyDescent="0.3">
      <c r="N286" s="50"/>
      <c r="O286" s="50"/>
      <c r="P286" s="50"/>
      <c r="Q286" s="50"/>
      <c r="R286" s="50"/>
      <c r="S286" s="51"/>
      <c r="T286" s="50"/>
      <c r="U286" s="50"/>
      <c r="V286" s="73"/>
      <c r="W286" s="50"/>
      <c r="X286" s="50"/>
      <c r="Y286" s="37"/>
      <c r="Z286" s="37"/>
      <c r="AA286" s="37"/>
      <c r="AB286" s="37"/>
      <c r="AC286" s="72"/>
      <c r="AD286" s="37"/>
      <c r="AN286" s="50"/>
      <c r="AO286" s="50"/>
      <c r="AP286" s="50"/>
      <c r="AQ286" s="50"/>
      <c r="AR286" s="50"/>
      <c r="AS286" s="51"/>
      <c r="AT286" s="50"/>
      <c r="AU286" s="50"/>
      <c r="AV286" s="73"/>
      <c r="AW286" s="50"/>
      <c r="AX286" s="50"/>
    </row>
    <row r="287" spans="14:50" x14ac:dyDescent="0.3">
      <c r="N287" s="50"/>
      <c r="O287" s="50"/>
      <c r="P287" s="50"/>
      <c r="Q287" s="50"/>
      <c r="R287" s="50"/>
      <c r="S287" s="51"/>
      <c r="T287" s="50"/>
      <c r="U287" s="50"/>
      <c r="V287" s="73"/>
      <c r="W287" s="50"/>
      <c r="X287" s="50"/>
      <c r="Y287" s="37"/>
      <c r="Z287" s="37"/>
      <c r="AA287" s="37"/>
      <c r="AB287" s="37"/>
      <c r="AC287" s="72"/>
      <c r="AD287" s="37"/>
      <c r="AN287" s="50"/>
      <c r="AO287" s="50"/>
      <c r="AP287" s="50"/>
      <c r="AQ287" s="50"/>
      <c r="AR287" s="50"/>
      <c r="AS287" s="51"/>
      <c r="AT287" s="50"/>
      <c r="AU287" s="50"/>
      <c r="AV287" s="73"/>
      <c r="AW287" s="50"/>
      <c r="AX287" s="50"/>
    </row>
    <row r="288" spans="14:50" x14ac:dyDescent="0.3">
      <c r="N288" s="50"/>
      <c r="O288" s="50"/>
      <c r="P288" s="50"/>
      <c r="Q288" s="50"/>
      <c r="R288" s="50"/>
      <c r="S288" s="51"/>
      <c r="T288" s="50"/>
      <c r="U288" s="50"/>
      <c r="V288" s="73"/>
      <c r="W288" s="50"/>
      <c r="X288" s="50"/>
      <c r="Y288" s="37"/>
      <c r="Z288" s="37"/>
      <c r="AA288" s="37"/>
      <c r="AB288" s="37"/>
      <c r="AC288" s="72"/>
      <c r="AD288" s="37"/>
      <c r="AN288" s="50"/>
      <c r="AO288" s="50"/>
      <c r="AP288" s="50"/>
      <c r="AQ288" s="50"/>
      <c r="AR288" s="50"/>
      <c r="AS288" s="51"/>
      <c r="AT288" s="50"/>
      <c r="AU288" s="50"/>
      <c r="AV288" s="73"/>
      <c r="AW288" s="50"/>
      <c r="AX288" s="50"/>
    </row>
    <row r="289" spans="14:50" x14ac:dyDescent="0.3">
      <c r="N289" s="50"/>
      <c r="O289" s="50"/>
      <c r="P289" s="50"/>
      <c r="Q289" s="50"/>
      <c r="R289" s="50"/>
      <c r="S289" s="51"/>
      <c r="T289" s="50"/>
      <c r="U289" s="50"/>
      <c r="V289" s="73"/>
      <c r="W289" s="50"/>
      <c r="X289" s="50"/>
      <c r="Y289" s="37"/>
      <c r="Z289" s="37"/>
      <c r="AA289" s="37"/>
      <c r="AB289" s="37"/>
      <c r="AC289" s="72"/>
      <c r="AD289" s="37"/>
      <c r="AN289" s="50"/>
      <c r="AO289" s="50"/>
      <c r="AP289" s="50"/>
      <c r="AQ289" s="50"/>
      <c r="AR289" s="50"/>
      <c r="AS289" s="51"/>
      <c r="AT289" s="50"/>
      <c r="AU289" s="50"/>
      <c r="AV289" s="73"/>
      <c r="AW289" s="50"/>
      <c r="AX289" s="50"/>
    </row>
    <row r="290" spans="14:50" x14ac:dyDescent="0.3">
      <c r="N290" s="50"/>
      <c r="O290" s="50"/>
      <c r="P290" s="50"/>
      <c r="Q290" s="50"/>
      <c r="R290" s="50"/>
      <c r="S290" s="51"/>
      <c r="T290" s="50"/>
      <c r="U290" s="50"/>
      <c r="V290" s="73"/>
      <c r="W290" s="50"/>
      <c r="X290" s="50"/>
      <c r="Y290" s="37"/>
      <c r="Z290" s="37"/>
      <c r="AA290" s="37"/>
      <c r="AB290" s="37"/>
      <c r="AC290" s="72"/>
      <c r="AD290" s="37"/>
      <c r="AN290" s="50"/>
      <c r="AO290" s="50"/>
      <c r="AP290" s="50"/>
      <c r="AQ290" s="50"/>
      <c r="AR290" s="50"/>
      <c r="AS290" s="51"/>
      <c r="AT290" s="50"/>
      <c r="AU290" s="50"/>
      <c r="AV290" s="73"/>
      <c r="AW290" s="50"/>
      <c r="AX290" s="50"/>
    </row>
    <row r="291" spans="14:50" x14ac:dyDescent="0.3">
      <c r="N291" s="50"/>
      <c r="O291" s="50"/>
      <c r="P291" s="50"/>
      <c r="Q291" s="50"/>
      <c r="R291" s="50"/>
      <c r="S291" s="51"/>
      <c r="T291" s="50"/>
      <c r="U291" s="50"/>
      <c r="V291" s="73"/>
      <c r="W291" s="50"/>
      <c r="X291" s="50"/>
      <c r="Y291" s="37"/>
      <c r="Z291" s="37"/>
      <c r="AA291" s="37"/>
      <c r="AB291" s="37"/>
      <c r="AC291" s="72"/>
      <c r="AD291" s="37"/>
      <c r="AN291" s="50"/>
      <c r="AO291" s="50"/>
      <c r="AP291" s="50"/>
      <c r="AQ291" s="50"/>
      <c r="AR291" s="50"/>
      <c r="AS291" s="51"/>
      <c r="AT291" s="50"/>
      <c r="AU291" s="50"/>
      <c r="AV291" s="73"/>
      <c r="AW291" s="50"/>
      <c r="AX291" s="50"/>
    </row>
    <row r="292" spans="14:50" x14ac:dyDescent="0.3">
      <c r="N292" s="50"/>
      <c r="O292" s="50"/>
      <c r="P292" s="50"/>
      <c r="Q292" s="50"/>
      <c r="R292" s="50"/>
      <c r="S292" s="51"/>
      <c r="T292" s="50"/>
      <c r="U292" s="50"/>
      <c r="V292" s="73"/>
      <c r="W292" s="50"/>
      <c r="X292" s="50"/>
      <c r="Y292" s="37"/>
      <c r="Z292" s="37"/>
      <c r="AA292" s="37"/>
      <c r="AB292" s="37"/>
      <c r="AC292" s="72"/>
      <c r="AD292" s="37"/>
      <c r="AN292" s="50"/>
      <c r="AO292" s="50"/>
      <c r="AP292" s="50"/>
      <c r="AQ292" s="50"/>
      <c r="AR292" s="50"/>
      <c r="AS292" s="51"/>
      <c r="AT292" s="50"/>
      <c r="AU292" s="50"/>
      <c r="AV292" s="73"/>
      <c r="AW292" s="50"/>
      <c r="AX292" s="50"/>
    </row>
    <row r="293" spans="14:50" x14ac:dyDescent="0.3">
      <c r="N293" s="50"/>
      <c r="O293" s="50"/>
      <c r="P293" s="50"/>
      <c r="Q293" s="50"/>
      <c r="R293" s="50"/>
      <c r="S293" s="51"/>
      <c r="T293" s="50"/>
      <c r="U293" s="50"/>
      <c r="V293" s="73"/>
      <c r="W293" s="50"/>
      <c r="X293" s="50"/>
      <c r="Y293" s="37"/>
      <c r="Z293" s="37"/>
      <c r="AA293" s="37"/>
      <c r="AB293" s="37"/>
      <c r="AC293" s="72"/>
      <c r="AD293" s="37"/>
      <c r="AN293" s="50"/>
      <c r="AO293" s="50"/>
      <c r="AP293" s="50"/>
      <c r="AQ293" s="50"/>
      <c r="AR293" s="50"/>
      <c r="AS293" s="51"/>
      <c r="AT293" s="50"/>
      <c r="AU293" s="50"/>
      <c r="AV293" s="73"/>
      <c r="AW293" s="50"/>
      <c r="AX293" s="50"/>
    </row>
    <row r="294" spans="14:50" x14ac:dyDescent="0.3">
      <c r="N294" s="50"/>
      <c r="O294" s="50"/>
      <c r="P294" s="50"/>
      <c r="Q294" s="50"/>
      <c r="R294" s="50"/>
      <c r="S294" s="51"/>
      <c r="T294" s="50"/>
      <c r="U294" s="50"/>
      <c r="V294" s="73"/>
      <c r="W294" s="50"/>
      <c r="X294" s="50"/>
      <c r="Y294" s="37"/>
      <c r="Z294" s="37"/>
      <c r="AA294" s="37"/>
      <c r="AB294" s="37"/>
      <c r="AC294" s="72"/>
      <c r="AD294" s="37"/>
      <c r="AN294" s="50"/>
      <c r="AO294" s="50"/>
      <c r="AP294" s="50"/>
      <c r="AQ294" s="50"/>
      <c r="AR294" s="50"/>
      <c r="AS294" s="51"/>
      <c r="AT294" s="50"/>
      <c r="AU294" s="50"/>
      <c r="AV294" s="73"/>
      <c r="AW294" s="50"/>
      <c r="AX294" s="50"/>
    </row>
    <row r="295" spans="14:50" x14ac:dyDescent="0.3">
      <c r="N295" s="50"/>
      <c r="O295" s="50"/>
      <c r="P295" s="50"/>
      <c r="Q295" s="50"/>
      <c r="R295" s="50"/>
      <c r="S295" s="51"/>
      <c r="T295" s="50"/>
      <c r="U295" s="50"/>
      <c r="V295" s="73"/>
      <c r="W295" s="50"/>
      <c r="X295" s="50"/>
      <c r="Y295" s="37"/>
      <c r="Z295" s="37"/>
      <c r="AA295" s="37"/>
      <c r="AB295" s="37"/>
      <c r="AC295" s="72"/>
      <c r="AD295" s="37"/>
      <c r="AN295" s="50"/>
      <c r="AO295" s="50"/>
      <c r="AP295" s="50"/>
      <c r="AQ295" s="50"/>
      <c r="AR295" s="50"/>
      <c r="AS295" s="51"/>
      <c r="AT295" s="50"/>
      <c r="AU295" s="50"/>
      <c r="AV295" s="73"/>
      <c r="AW295" s="50"/>
      <c r="AX295" s="50"/>
    </row>
    <row r="296" spans="14:50" x14ac:dyDescent="0.3">
      <c r="N296" s="50"/>
      <c r="O296" s="50"/>
      <c r="P296" s="50"/>
      <c r="Q296" s="50"/>
      <c r="R296" s="50"/>
      <c r="S296" s="51"/>
      <c r="T296" s="50"/>
      <c r="U296" s="50"/>
      <c r="V296" s="73"/>
      <c r="W296" s="50"/>
      <c r="X296" s="50"/>
      <c r="Y296" s="37"/>
      <c r="Z296" s="37"/>
      <c r="AA296" s="37"/>
      <c r="AB296" s="37"/>
      <c r="AC296" s="72"/>
      <c r="AD296" s="37"/>
      <c r="AN296" s="50"/>
      <c r="AO296" s="50"/>
      <c r="AP296" s="50"/>
      <c r="AQ296" s="50"/>
      <c r="AR296" s="50"/>
      <c r="AS296" s="51"/>
      <c r="AT296" s="50"/>
      <c r="AU296" s="50"/>
      <c r="AV296" s="73"/>
      <c r="AW296" s="50"/>
      <c r="AX296" s="50"/>
    </row>
    <row r="297" spans="14:50" x14ac:dyDescent="0.3">
      <c r="N297" s="50"/>
      <c r="O297" s="50"/>
      <c r="P297" s="50"/>
      <c r="Q297" s="50"/>
      <c r="R297" s="50"/>
      <c r="S297" s="51"/>
      <c r="T297" s="50"/>
      <c r="U297" s="50"/>
      <c r="V297" s="73"/>
      <c r="W297" s="50"/>
      <c r="X297" s="50"/>
      <c r="Y297" s="37"/>
      <c r="Z297" s="37"/>
      <c r="AA297" s="37"/>
      <c r="AB297" s="37"/>
      <c r="AC297" s="72"/>
      <c r="AD297" s="37"/>
      <c r="AN297" s="50"/>
      <c r="AO297" s="50"/>
      <c r="AP297" s="50"/>
      <c r="AQ297" s="50"/>
      <c r="AR297" s="50"/>
      <c r="AS297" s="51"/>
      <c r="AT297" s="50"/>
      <c r="AU297" s="50"/>
      <c r="AV297" s="73"/>
      <c r="AW297" s="50"/>
      <c r="AX297" s="50"/>
    </row>
    <row r="298" spans="14:50" x14ac:dyDescent="0.3">
      <c r="N298" s="50"/>
      <c r="O298" s="50"/>
      <c r="P298" s="50"/>
      <c r="Q298" s="50"/>
      <c r="R298" s="50"/>
      <c r="S298" s="51"/>
      <c r="T298" s="50"/>
      <c r="U298" s="50"/>
      <c r="V298" s="73"/>
      <c r="W298" s="50"/>
      <c r="X298" s="50"/>
      <c r="Y298" s="37"/>
      <c r="Z298" s="37"/>
      <c r="AA298" s="37"/>
      <c r="AB298" s="37"/>
      <c r="AC298" s="72"/>
      <c r="AD298" s="37"/>
      <c r="AN298" s="50"/>
      <c r="AO298" s="50"/>
      <c r="AP298" s="50"/>
      <c r="AQ298" s="50"/>
      <c r="AR298" s="50"/>
      <c r="AS298" s="51"/>
      <c r="AT298" s="50"/>
      <c r="AU298" s="50"/>
      <c r="AV298" s="73"/>
      <c r="AW298" s="50"/>
      <c r="AX298" s="50"/>
    </row>
    <row r="299" spans="14:50" x14ac:dyDescent="0.3">
      <c r="N299" s="50"/>
      <c r="O299" s="50"/>
      <c r="P299" s="50"/>
      <c r="Q299" s="50"/>
      <c r="R299" s="50"/>
      <c r="S299" s="51"/>
      <c r="T299" s="50"/>
      <c r="U299" s="50"/>
      <c r="V299" s="73"/>
      <c r="W299" s="50"/>
      <c r="X299" s="50"/>
      <c r="Y299" s="37"/>
      <c r="Z299" s="37"/>
      <c r="AA299" s="37"/>
      <c r="AB299" s="37"/>
      <c r="AC299" s="72"/>
      <c r="AD299" s="37"/>
      <c r="AN299" s="50"/>
      <c r="AO299" s="50"/>
      <c r="AP299" s="50"/>
      <c r="AQ299" s="50"/>
      <c r="AR299" s="50"/>
      <c r="AS299" s="51"/>
      <c r="AT299" s="50"/>
      <c r="AU299" s="50"/>
      <c r="AV299" s="73"/>
      <c r="AW299" s="50"/>
      <c r="AX299" s="50"/>
    </row>
    <row r="300" spans="14:50" x14ac:dyDescent="0.3">
      <c r="N300" s="50"/>
      <c r="O300" s="50"/>
      <c r="P300" s="50"/>
      <c r="Q300" s="50"/>
      <c r="R300" s="50"/>
      <c r="S300" s="51"/>
      <c r="T300" s="50"/>
      <c r="U300" s="50"/>
      <c r="V300" s="73"/>
      <c r="W300" s="50"/>
      <c r="X300" s="50"/>
      <c r="Y300" s="37"/>
      <c r="Z300" s="37"/>
      <c r="AA300" s="37"/>
      <c r="AB300" s="37"/>
      <c r="AC300" s="72"/>
      <c r="AD300" s="37"/>
      <c r="AN300" s="50"/>
      <c r="AO300" s="50"/>
      <c r="AP300" s="50"/>
      <c r="AQ300" s="50"/>
      <c r="AR300" s="50"/>
      <c r="AS300" s="51"/>
      <c r="AT300" s="50"/>
      <c r="AU300" s="50"/>
      <c r="AV300" s="73"/>
      <c r="AW300" s="50"/>
      <c r="AX300" s="50"/>
    </row>
    <row r="301" spans="14:50" x14ac:dyDescent="0.3">
      <c r="N301" s="50"/>
      <c r="O301" s="50"/>
      <c r="P301" s="50"/>
      <c r="Q301" s="50"/>
      <c r="R301" s="50"/>
      <c r="S301" s="51"/>
      <c r="T301" s="50"/>
      <c r="U301" s="50"/>
      <c r="V301" s="73"/>
      <c r="W301" s="50"/>
      <c r="X301" s="50"/>
      <c r="Y301" s="37"/>
      <c r="Z301" s="37"/>
      <c r="AA301" s="37"/>
      <c r="AB301" s="37"/>
      <c r="AC301" s="72"/>
      <c r="AD301" s="37"/>
      <c r="AN301" s="50"/>
      <c r="AO301" s="50"/>
      <c r="AP301" s="50"/>
      <c r="AQ301" s="50"/>
      <c r="AR301" s="50"/>
      <c r="AS301" s="51"/>
      <c r="AT301" s="50"/>
      <c r="AU301" s="50"/>
      <c r="AV301" s="73"/>
      <c r="AW301" s="50"/>
      <c r="AX301" s="50"/>
    </row>
    <row r="302" spans="14:50" x14ac:dyDescent="0.3">
      <c r="N302" s="50"/>
      <c r="O302" s="50"/>
      <c r="P302" s="50"/>
      <c r="Q302" s="50"/>
      <c r="R302" s="50"/>
      <c r="S302" s="51"/>
      <c r="T302" s="50"/>
      <c r="U302" s="50"/>
      <c r="V302" s="73"/>
      <c r="W302" s="50"/>
      <c r="X302" s="50"/>
      <c r="Y302" s="37"/>
      <c r="Z302" s="37"/>
      <c r="AA302" s="37"/>
      <c r="AB302" s="37"/>
      <c r="AC302" s="72"/>
      <c r="AD302" s="37"/>
      <c r="AN302" s="50"/>
      <c r="AO302" s="50"/>
      <c r="AP302" s="50"/>
      <c r="AQ302" s="50"/>
      <c r="AR302" s="50"/>
      <c r="AS302" s="51"/>
      <c r="AT302" s="50"/>
      <c r="AU302" s="50"/>
      <c r="AV302" s="73"/>
      <c r="AW302" s="50"/>
      <c r="AX302" s="50"/>
    </row>
    <row r="303" spans="14:50" x14ac:dyDescent="0.3">
      <c r="N303" s="50"/>
      <c r="O303" s="50"/>
      <c r="P303" s="50"/>
      <c r="Q303" s="50"/>
      <c r="R303" s="50"/>
      <c r="S303" s="51"/>
      <c r="T303" s="50"/>
      <c r="U303" s="50"/>
      <c r="V303" s="73"/>
      <c r="W303" s="50"/>
      <c r="X303" s="50"/>
      <c r="Y303" s="37"/>
      <c r="Z303" s="37"/>
      <c r="AA303" s="37"/>
      <c r="AB303" s="37"/>
      <c r="AC303" s="72"/>
      <c r="AD303" s="37"/>
      <c r="AN303" s="50"/>
      <c r="AO303" s="50"/>
      <c r="AP303" s="50"/>
      <c r="AQ303" s="50"/>
      <c r="AR303" s="50"/>
      <c r="AS303" s="51"/>
      <c r="AT303" s="50"/>
      <c r="AU303" s="50"/>
      <c r="AV303" s="73"/>
      <c r="AW303" s="50"/>
      <c r="AX303" s="50"/>
    </row>
    <row r="304" spans="14:50" x14ac:dyDescent="0.3">
      <c r="N304" s="50"/>
      <c r="O304" s="50"/>
      <c r="P304" s="50"/>
      <c r="Q304" s="50"/>
      <c r="R304" s="50"/>
      <c r="S304" s="51"/>
      <c r="T304" s="50"/>
      <c r="U304" s="50"/>
      <c r="V304" s="73"/>
      <c r="W304" s="50"/>
      <c r="X304" s="50"/>
      <c r="Y304" s="37"/>
      <c r="Z304" s="37"/>
      <c r="AA304" s="37"/>
      <c r="AB304" s="37"/>
      <c r="AC304" s="72"/>
      <c r="AD304" s="37"/>
      <c r="AN304" s="50"/>
      <c r="AO304" s="50"/>
      <c r="AP304" s="50"/>
      <c r="AQ304" s="50"/>
      <c r="AR304" s="50"/>
      <c r="AS304" s="51"/>
      <c r="AT304" s="50"/>
      <c r="AU304" s="50"/>
      <c r="AV304" s="73"/>
      <c r="AW304" s="50"/>
      <c r="AX304" s="50"/>
    </row>
    <row r="305" spans="14:50" x14ac:dyDescent="0.3">
      <c r="N305" s="50"/>
      <c r="O305" s="50"/>
      <c r="P305" s="50"/>
      <c r="Q305" s="50"/>
      <c r="R305" s="50"/>
      <c r="S305" s="51"/>
      <c r="T305" s="50"/>
      <c r="U305" s="50"/>
      <c r="V305" s="73"/>
      <c r="W305" s="50"/>
      <c r="X305" s="50"/>
      <c r="Y305" s="37"/>
      <c r="Z305" s="37"/>
      <c r="AA305" s="37"/>
      <c r="AB305" s="37"/>
      <c r="AC305" s="72"/>
      <c r="AD305" s="37"/>
      <c r="AN305" s="50"/>
      <c r="AO305" s="50"/>
      <c r="AP305" s="50"/>
      <c r="AQ305" s="50"/>
      <c r="AR305" s="50"/>
      <c r="AS305" s="51"/>
      <c r="AT305" s="50"/>
      <c r="AU305" s="50"/>
      <c r="AV305" s="73"/>
      <c r="AW305" s="50"/>
      <c r="AX305" s="50"/>
    </row>
    <row r="306" spans="14:50" x14ac:dyDescent="0.3">
      <c r="N306" s="50"/>
      <c r="O306" s="50"/>
      <c r="P306" s="50"/>
      <c r="Q306" s="50"/>
      <c r="R306" s="50"/>
      <c r="S306" s="51"/>
      <c r="T306" s="50"/>
      <c r="U306" s="50"/>
      <c r="V306" s="73"/>
      <c r="W306" s="50"/>
      <c r="X306" s="50"/>
      <c r="Y306" s="37"/>
      <c r="Z306" s="37"/>
      <c r="AA306" s="37"/>
      <c r="AB306" s="37"/>
      <c r="AC306" s="72"/>
      <c r="AD306" s="37"/>
      <c r="AN306" s="50"/>
      <c r="AO306" s="50"/>
      <c r="AP306" s="50"/>
      <c r="AQ306" s="50"/>
      <c r="AR306" s="50"/>
      <c r="AS306" s="51"/>
      <c r="AT306" s="50"/>
      <c r="AU306" s="50"/>
      <c r="AV306" s="73"/>
      <c r="AW306" s="50"/>
      <c r="AX306" s="50"/>
    </row>
    <row r="307" spans="14:50" x14ac:dyDescent="0.3">
      <c r="N307" s="50"/>
      <c r="O307" s="50"/>
      <c r="P307" s="50"/>
      <c r="Q307" s="50"/>
      <c r="R307" s="50"/>
      <c r="S307" s="51"/>
      <c r="T307" s="50"/>
      <c r="U307" s="50"/>
      <c r="V307" s="73"/>
      <c r="W307" s="50"/>
      <c r="X307" s="50"/>
      <c r="Y307" s="37"/>
      <c r="Z307" s="37"/>
      <c r="AA307" s="37"/>
      <c r="AB307" s="37"/>
      <c r="AC307" s="72"/>
      <c r="AD307" s="37"/>
      <c r="AN307" s="50"/>
      <c r="AO307" s="50"/>
      <c r="AP307" s="50"/>
      <c r="AQ307" s="50"/>
      <c r="AR307" s="50"/>
      <c r="AS307" s="51"/>
      <c r="AT307" s="50"/>
      <c r="AU307" s="50"/>
      <c r="AV307" s="73"/>
      <c r="AW307" s="50"/>
      <c r="AX307" s="50"/>
    </row>
    <row r="308" spans="14:50" x14ac:dyDescent="0.3">
      <c r="N308" s="50"/>
      <c r="O308" s="50"/>
      <c r="P308" s="50"/>
      <c r="Q308" s="50"/>
      <c r="R308" s="50"/>
      <c r="S308" s="51"/>
      <c r="T308" s="50"/>
      <c r="U308" s="50"/>
      <c r="V308" s="73"/>
      <c r="W308" s="50"/>
      <c r="X308" s="50"/>
      <c r="Y308" s="37"/>
      <c r="Z308" s="37"/>
      <c r="AA308" s="37"/>
      <c r="AB308" s="37"/>
      <c r="AC308" s="72"/>
      <c r="AD308" s="37"/>
      <c r="AN308" s="50"/>
      <c r="AO308" s="50"/>
      <c r="AP308" s="50"/>
      <c r="AQ308" s="50"/>
      <c r="AR308" s="50"/>
      <c r="AS308" s="51"/>
      <c r="AT308" s="50"/>
      <c r="AU308" s="50"/>
      <c r="AV308" s="73"/>
      <c r="AW308" s="50"/>
      <c r="AX308" s="50"/>
    </row>
    <row r="309" spans="14:50" x14ac:dyDescent="0.3">
      <c r="N309" s="50"/>
      <c r="O309" s="50"/>
      <c r="P309" s="50"/>
      <c r="Q309" s="50"/>
      <c r="R309" s="50"/>
      <c r="S309" s="51"/>
      <c r="T309" s="50"/>
      <c r="U309" s="50"/>
      <c r="V309" s="73"/>
      <c r="W309" s="50"/>
      <c r="X309" s="50"/>
      <c r="Y309" s="37"/>
      <c r="Z309" s="37"/>
      <c r="AA309" s="37"/>
      <c r="AB309" s="37"/>
      <c r="AC309" s="72"/>
      <c r="AD309" s="37"/>
      <c r="AN309" s="50"/>
      <c r="AO309" s="50"/>
      <c r="AP309" s="50"/>
      <c r="AQ309" s="50"/>
      <c r="AR309" s="50"/>
      <c r="AS309" s="51"/>
      <c r="AT309" s="50"/>
      <c r="AU309" s="50"/>
      <c r="AV309" s="73"/>
      <c r="AW309" s="50"/>
      <c r="AX309" s="50"/>
    </row>
    <row r="310" spans="14:50" x14ac:dyDescent="0.3">
      <c r="N310" s="50"/>
      <c r="O310" s="50"/>
      <c r="P310" s="50"/>
      <c r="Q310" s="50"/>
      <c r="R310" s="50"/>
      <c r="S310" s="51"/>
      <c r="T310" s="50"/>
      <c r="U310" s="50"/>
      <c r="V310" s="73"/>
      <c r="W310" s="50"/>
      <c r="X310" s="50"/>
      <c r="Y310" s="37"/>
      <c r="Z310" s="37"/>
      <c r="AA310" s="37"/>
      <c r="AB310" s="37"/>
      <c r="AC310" s="72"/>
      <c r="AD310" s="37"/>
      <c r="AN310" s="50"/>
      <c r="AO310" s="50"/>
      <c r="AP310" s="50"/>
      <c r="AQ310" s="50"/>
      <c r="AR310" s="50"/>
      <c r="AS310" s="51"/>
      <c r="AT310" s="50"/>
      <c r="AU310" s="50"/>
      <c r="AV310" s="73"/>
      <c r="AW310" s="50"/>
      <c r="AX310" s="50"/>
    </row>
    <row r="311" spans="14:50" x14ac:dyDescent="0.3">
      <c r="N311" s="50"/>
      <c r="O311" s="50"/>
      <c r="P311" s="50"/>
      <c r="Q311" s="50"/>
      <c r="R311" s="50"/>
      <c r="S311" s="51"/>
      <c r="T311" s="50"/>
      <c r="U311" s="50"/>
      <c r="V311" s="73"/>
      <c r="W311" s="50"/>
      <c r="X311" s="50"/>
      <c r="Y311" s="37"/>
      <c r="Z311" s="37"/>
      <c r="AA311" s="37"/>
      <c r="AB311" s="37"/>
      <c r="AC311" s="72"/>
      <c r="AD311" s="37"/>
      <c r="AN311" s="50"/>
      <c r="AO311" s="50"/>
      <c r="AP311" s="50"/>
      <c r="AQ311" s="50"/>
      <c r="AR311" s="50"/>
      <c r="AS311" s="51"/>
      <c r="AT311" s="50"/>
      <c r="AU311" s="50"/>
      <c r="AV311" s="73"/>
      <c r="AW311" s="50"/>
      <c r="AX311" s="50"/>
    </row>
    <row r="312" spans="14:50" x14ac:dyDescent="0.3">
      <c r="N312" s="50"/>
      <c r="O312" s="50"/>
      <c r="P312" s="50"/>
      <c r="Q312" s="50"/>
      <c r="R312" s="50"/>
      <c r="S312" s="51"/>
      <c r="T312" s="50"/>
      <c r="U312" s="50"/>
      <c r="V312" s="73"/>
      <c r="W312" s="50"/>
      <c r="X312" s="50"/>
      <c r="Y312" s="37"/>
      <c r="Z312" s="37"/>
      <c r="AA312" s="37"/>
      <c r="AB312" s="37"/>
      <c r="AC312" s="72"/>
      <c r="AD312" s="37"/>
      <c r="AN312" s="50"/>
      <c r="AO312" s="50"/>
      <c r="AP312" s="50"/>
      <c r="AQ312" s="50"/>
      <c r="AR312" s="50"/>
      <c r="AS312" s="51"/>
      <c r="AT312" s="50"/>
      <c r="AU312" s="50"/>
      <c r="AV312" s="73"/>
      <c r="AW312" s="50"/>
      <c r="AX312" s="50"/>
    </row>
    <row r="313" spans="14:50" x14ac:dyDescent="0.3">
      <c r="N313" s="50"/>
      <c r="O313" s="50"/>
      <c r="P313" s="50"/>
      <c r="Q313" s="50"/>
      <c r="R313" s="50"/>
      <c r="S313" s="51"/>
      <c r="T313" s="50"/>
      <c r="U313" s="50"/>
      <c r="V313" s="73"/>
      <c r="W313" s="50"/>
      <c r="X313" s="50"/>
      <c r="Y313" s="37"/>
      <c r="Z313" s="37"/>
      <c r="AA313" s="37"/>
      <c r="AB313" s="37"/>
      <c r="AC313" s="72"/>
      <c r="AD313" s="37"/>
      <c r="AN313" s="50"/>
      <c r="AO313" s="50"/>
      <c r="AP313" s="50"/>
      <c r="AQ313" s="50"/>
      <c r="AR313" s="50"/>
      <c r="AS313" s="51"/>
      <c r="AT313" s="50"/>
      <c r="AU313" s="50"/>
      <c r="AV313" s="73"/>
      <c r="AW313" s="50"/>
      <c r="AX313" s="50"/>
    </row>
    <row r="314" spans="14:50" x14ac:dyDescent="0.3">
      <c r="N314" s="50"/>
      <c r="O314" s="50"/>
      <c r="P314" s="50"/>
      <c r="Q314" s="50"/>
      <c r="R314" s="50"/>
      <c r="S314" s="51"/>
      <c r="T314" s="50"/>
      <c r="U314" s="50"/>
      <c r="V314" s="73"/>
      <c r="W314" s="50"/>
      <c r="X314" s="50"/>
      <c r="Y314" s="37"/>
      <c r="Z314" s="37"/>
      <c r="AA314" s="37"/>
      <c r="AB314" s="37"/>
      <c r="AC314" s="72"/>
      <c r="AD314" s="37"/>
      <c r="AN314" s="50"/>
      <c r="AO314" s="50"/>
      <c r="AP314" s="50"/>
      <c r="AQ314" s="50"/>
      <c r="AR314" s="50"/>
      <c r="AS314" s="51"/>
      <c r="AT314" s="50"/>
      <c r="AU314" s="50"/>
      <c r="AV314" s="73"/>
      <c r="AW314" s="50"/>
      <c r="AX314" s="50"/>
    </row>
    <row r="315" spans="14:50" x14ac:dyDescent="0.3">
      <c r="N315" s="50"/>
      <c r="O315" s="50"/>
      <c r="P315" s="50"/>
      <c r="Q315" s="50"/>
      <c r="R315" s="50"/>
      <c r="S315" s="51"/>
      <c r="T315" s="50"/>
      <c r="U315" s="50"/>
      <c r="V315" s="73"/>
      <c r="W315" s="50"/>
      <c r="X315" s="50"/>
      <c r="Y315" s="37"/>
      <c r="Z315" s="37"/>
      <c r="AA315" s="37"/>
      <c r="AB315" s="37"/>
      <c r="AC315" s="72"/>
      <c r="AD315" s="37"/>
      <c r="AN315" s="50"/>
      <c r="AO315" s="50"/>
      <c r="AP315" s="50"/>
      <c r="AQ315" s="50"/>
      <c r="AR315" s="50"/>
      <c r="AS315" s="51"/>
      <c r="AT315" s="50"/>
      <c r="AU315" s="50"/>
      <c r="AV315" s="73"/>
      <c r="AW315" s="50"/>
      <c r="AX315" s="50"/>
    </row>
    <row r="316" spans="14:50" x14ac:dyDescent="0.3">
      <c r="N316" s="50"/>
      <c r="O316" s="50"/>
      <c r="P316" s="50"/>
      <c r="Q316" s="50"/>
      <c r="R316" s="50"/>
      <c r="S316" s="51"/>
      <c r="T316" s="50"/>
      <c r="U316" s="50"/>
      <c r="V316" s="73"/>
      <c r="W316" s="50"/>
      <c r="X316" s="50"/>
      <c r="Y316" s="37"/>
      <c r="Z316" s="37"/>
      <c r="AA316" s="37"/>
      <c r="AB316" s="37"/>
      <c r="AC316" s="72"/>
      <c r="AD316" s="37"/>
      <c r="AN316" s="50"/>
      <c r="AO316" s="50"/>
      <c r="AP316" s="50"/>
      <c r="AQ316" s="50"/>
      <c r="AR316" s="50"/>
      <c r="AS316" s="51"/>
      <c r="AT316" s="50"/>
      <c r="AU316" s="50"/>
      <c r="AV316" s="73"/>
      <c r="AW316" s="50"/>
      <c r="AX316" s="50"/>
    </row>
    <row r="317" spans="14:50" x14ac:dyDescent="0.3">
      <c r="N317" s="50"/>
      <c r="O317" s="50"/>
      <c r="P317" s="50"/>
      <c r="Q317" s="50"/>
      <c r="R317" s="50"/>
      <c r="S317" s="51"/>
      <c r="T317" s="50"/>
      <c r="U317" s="50"/>
      <c r="V317" s="73"/>
      <c r="W317" s="50"/>
      <c r="X317" s="50"/>
      <c r="Y317" s="37"/>
      <c r="Z317" s="37"/>
      <c r="AA317" s="37"/>
      <c r="AB317" s="37"/>
      <c r="AC317" s="72"/>
      <c r="AD317" s="37"/>
      <c r="AN317" s="50"/>
      <c r="AO317" s="50"/>
      <c r="AP317" s="50"/>
      <c r="AQ317" s="50"/>
      <c r="AR317" s="50"/>
      <c r="AS317" s="51"/>
      <c r="AT317" s="50"/>
      <c r="AU317" s="50"/>
      <c r="AV317" s="73"/>
      <c r="AW317" s="50"/>
      <c r="AX317" s="50"/>
    </row>
    <row r="318" spans="14:50" x14ac:dyDescent="0.3">
      <c r="N318" s="50"/>
      <c r="O318" s="50"/>
      <c r="P318" s="50"/>
      <c r="Q318" s="50"/>
      <c r="R318" s="50"/>
      <c r="S318" s="51"/>
      <c r="T318" s="50"/>
      <c r="U318" s="50"/>
      <c r="V318" s="73"/>
      <c r="W318" s="50"/>
      <c r="X318" s="50"/>
      <c r="Y318" s="37"/>
      <c r="Z318" s="37"/>
      <c r="AA318" s="37"/>
      <c r="AB318" s="37"/>
      <c r="AC318" s="72"/>
      <c r="AD318" s="37"/>
      <c r="AN318" s="50"/>
      <c r="AO318" s="50"/>
      <c r="AP318" s="50"/>
      <c r="AQ318" s="50"/>
      <c r="AR318" s="50"/>
      <c r="AS318" s="51"/>
      <c r="AT318" s="50"/>
      <c r="AU318" s="50"/>
      <c r="AV318" s="73"/>
      <c r="AW318" s="50"/>
      <c r="AX318" s="50"/>
    </row>
    <row r="319" spans="14:50" x14ac:dyDescent="0.3">
      <c r="N319" s="50"/>
      <c r="O319" s="50"/>
      <c r="P319" s="50"/>
      <c r="Q319" s="50"/>
      <c r="R319" s="50"/>
      <c r="S319" s="51"/>
      <c r="T319" s="50"/>
      <c r="U319" s="50"/>
      <c r="V319" s="73"/>
      <c r="W319" s="50"/>
      <c r="X319" s="50"/>
      <c r="Y319" s="37"/>
      <c r="Z319" s="37"/>
      <c r="AA319" s="37"/>
      <c r="AB319" s="37"/>
      <c r="AC319" s="72"/>
      <c r="AD319" s="37"/>
      <c r="AN319" s="50"/>
      <c r="AO319" s="50"/>
      <c r="AP319" s="50"/>
      <c r="AQ319" s="50"/>
      <c r="AR319" s="50"/>
      <c r="AS319" s="51"/>
      <c r="AT319" s="50"/>
      <c r="AU319" s="50"/>
      <c r="AV319" s="73"/>
      <c r="AW319" s="50"/>
      <c r="AX319" s="50"/>
    </row>
    <row r="320" spans="14:50" x14ac:dyDescent="0.3">
      <c r="N320" s="50"/>
      <c r="O320" s="50"/>
      <c r="P320" s="50"/>
      <c r="Q320" s="50"/>
      <c r="R320" s="50"/>
      <c r="S320" s="51"/>
      <c r="T320" s="50"/>
      <c r="U320" s="50"/>
      <c r="V320" s="73"/>
      <c r="W320" s="50"/>
      <c r="X320" s="50"/>
      <c r="Y320" s="37"/>
      <c r="Z320" s="37"/>
      <c r="AA320" s="37"/>
      <c r="AB320" s="37"/>
      <c r="AC320" s="72"/>
      <c r="AD320" s="37"/>
      <c r="AN320" s="50"/>
      <c r="AO320" s="50"/>
      <c r="AP320" s="50"/>
      <c r="AQ320" s="50"/>
      <c r="AR320" s="50"/>
      <c r="AS320" s="51"/>
      <c r="AT320" s="50"/>
      <c r="AU320" s="50"/>
      <c r="AV320" s="73"/>
      <c r="AW320" s="50"/>
      <c r="AX320" s="50"/>
    </row>
    <row r="321" spans="14:50" x14ac:dyDescent="0.3">
      <c r="N321" s="50"/>
      <c r="O321" s="50"/>
      <c r="P321" s="50"/>
      <c r="Q321" s="50"/>
      <c r="R321" s="50"/>
      <c r="S321" s="51"/>
      <c r="T321" s="50"/>
      <c r="U321" s="50"/>
      <c r="V321" s="73"/>
      <c r="W321" s="50"/>
      <c r="X321" s="50"/>
      <c r="Y321" s="37"/>
      <c r="Z321" s="37"/>
      <c r="AA321" s="37"/>
      <c r="AB321" s="37"/>
      <c r="AC321" s="72"/>
      <c r="AD321" s="37"/>
      <c r="AN321" s="50"/>
      <c r="AO321" s="50"/>
      <c r="AP321" s="50"/>
      <c r="AQ321" s="50"/>
      <c r="AR321" s="50"/>
      <c r="AS321" s="51"/>
      <c r="AT321" s="50"/>
      <c r="AU321" s="50"/>
      <c r="AV321" s="73"/>
      <c r="AW321" s="50"/>
      <c r="AX321" s="50"/>
    </row>
    <row r="322" spans="14:50" x14ac:dyDescent="0.3">
      <c r="N322" s="50"/>
      <c r="O322" s="50"/>
      <c r="P322" s="50"/>
      <c r="Q322" s="50"/>
      <c r="R322" s="50"/>
      <c r="S322" s="51"/>
      <c r="T322" s="50"/>
      <c r="U322" s="50"/>
      <c r="V322" s="73"/>
      <c r="W322" s="50"/>
      <c r="X322" s="50"/>
      <c r="Y322" s="37"/>
      <c r="Z322" s="37"/>
      <c r="AA322" s="37"/>
      <c r="AB322" s="37"/>
      <c r="AC322" s="72"/>
      <c r="AD322" s="37"/>
      <c r="AN322" s="50"/>
      <c r="AO322" s="50"/>
      <c r="AP322" s="50"/>
      <c r="AQ322" s="50"/>
      <c r="AR322" s="50"/>
      <c r="AS322" s="51"/>
      <c r="AT322" s="50"/>
      <c r="AU322" s="50"/>
      <c r="AV322" s="73"/>
      <c r="AW322" s="50"/>
      <c r="AX322" s="50"/>
    </row>
    <row r="323" spans="14:50" x14ac:dyDescent="0.3">
      <c r="N323" s="50"/>
      <c r="O323" s="50"/>
      <c r="P323" s="50"/>
      <c r="Q323" s="50"/>
      <c r="R323" s="50"/>
      <c r="S323" s="51"/>
      <c r="T323" s="50"/>
      <c r="U323" s="50"/>
      <c r="V323" s="73"/>
      <c r="W323" s="50"/>
      <c r="X323" s="50"/>
      <c r="Y323" s="37"/>
      <c r="Z323" s="37"/>
      <c r="AA323" s="37"/>
      <c r="AB323" s="37"/>
      <c r="AC323" s="72"/>
      <c r="AD323" s="37"/>
      <c r="AN323" s="50"/>
      <c r="AO323" s="50"/>
      <c r="AP323" s="50"/>
      <c r="AQ323" s="50"/>
      <c r="AR323" s="50"/>
      <c r="AS323" s="51"/>
      <c r="AT323" s="50"/>
      <c r="AU323" s="50"/>
      <c r="AV323" s="73"/>
      <c r="AW323" s="50"/>
      <c r="AX323" s="50"/>
    </row>
    <row r="324" spans="14:50" x14ac:dyDescent="0.3">
      <c r="N324" s="50"/>
      <c r="O324" s="50"/>
      <c r="P324" s="50"/>
      <c r="Q324" s="50"/>
      <c r="R324" s="50"/>
      <c r="S324" s="51"/>
      <c r="T324" s="50"/>
      <c r="U324" s="50"/>
      <c r="V324" s="73"/>
      <c r="W324" s="50"/>
      <c r="X324" s="50"/>
      <c r="Y324" s="37"/>
      <c r="Z324" s="37"/>
      <c r="AA324" s="37"/>
      <c r="AB324" s="37"/>
      <c r="AC324" s="72"/>
      <c r="AD324" s="37"/>
      <c r="AN324" s="50"/>
      <c r="AO324" s="50"/>
      <c r="AP324" s="50"/>
      <c r="AQ324" s="50"/>
      <c r="AR324" s="50"/>
      <c r="AS324" s="51"/>
      <c r="AT324" s="50"/>
      <c r="AU324" s="50"/>
      <c r="AV324" s="73"/>
      <c r="AW324" s="50"/>
      <c r="AX324" s="50"/>
    </row>
    <row r="325" spans="14:50" x14ac:dyDescent="0.3">
      <c r="N325" s="50"/>
      <c r="O325" s="50"/>
      <c r="P325" s="50"/>
      <c r="Q325" s="50"/>
      <c r="R325" s="50"/>
      <c r="S325" s="51"/>
      <c r="T325" s="50"/>
      <c r="U325" s="50"/>
      <c r="V325" s="73"/>
      <c r="W325" s="50"/>
      <c r="X325" s="50"/>
      <c r="Y325" s="37"/>
      <c r="Z325" s="37"/>
      <c r="AA325" s="37"/>
      <c r="AB325" s="37"/>
      <c r="AC325" s="72"/>
      <c r="AD325" s="37"/>
      <c r="AN325" s="50"/>
      <c r="AO325" s="50"/>
      <c r="AP325" s="50"/>
      <c r="AQ325" s="50"/>
      <c r="AR325" s="50"/>
      <c r="AS325" s="51"/>
      <c r="AT325" s="50"/>
      <c r="AU325" s="50"/>
      <c r="AV325" s="73"/>
      <c r="AW325" s="50"/>
      <c r="AX325" s="50"/>
    </row>
    <row r="326" spans="14:50" x14ac:dyDescent="0.3">
      <c r="N326" s="50"/>
      <c r="O326" s="50"/>
      <c r="P326" s="50"/>
      <c r="Q326" s="50"/>
      <c r="R326" s="50"/>
      <c r="S326" s="51"/>
      <c r="T326" s="50"/>
      <c r="U326" s="50"/>
      <c r="V326" s="73"/>
      <c r="W326" s="50"/>
      <c r="X326" s="50"/>
      <c r="Y326" s="37"/>
      <c r="Z326" s="37"/>
      <c r="AA326" s="37"/>
      <c r="AB326" s="37"/>
      <c r="AC326" s="72"/>
      <c r="AD326" s="37"/>
      <c r="AN326" s="50"/>
      <c r="AO326" s="50"/>
      <c r="AP326" s="50"/>
      <c r="AQ326" s="50"/>
      <c r="AR326" s="50"/>
      <c r="AS326" s="51"/>
      <c r="AT326" s="50"/>
      <c r="AU326" s="50"/>
      <c r="AV326" s="73"/>
      <c r="AW326" s="50"/>
      <c r="AX326" s="50"/>
    </row>
    <row r="327" spans="14:50" x14ac:dyDescent="0.3">
      <c r="N327" s="50"/>
      <c r="O327" s="50"/>
      <c r="P327" s="50"/>
      <c r="Q327" s="50"/>
      <c r="R327" s="50"/>
      <c r="S327" s="51"/>
      <c r="T327" s="50"/>
      <c r="U327" s="50"/>
      <c r="V327" s="73"/>
      <c r="W327" s="50"/>
      <c r="X327" s="50"/>
      <c r="Y327" s="37"/>
      <c r="Z327" s="37"/>
      <c r="AA327" s="37"/>
      <c r="AB327" s="37"/>
      <c r="AC327" s="72"/>
      <c r="AD327" s="37"/>
      <c r="AN327" s="50"/>
      <c r="AO327" s="50"/>
      <c r="AP327" s="50"/>
      <c r="AQ327" s="50"/>
      <c r="AR327" s="50"/>
      <c r="AS327" s="51"/>
      <c r="AT327" s="50"/>
      <c r="AU327" s="50"/>
      <c r="AV327" s="73"/>
      <c r="AW327" s="50"/>
      <c r="AX327" s="50"/>
    </row>
    <row r="328" spans="14:50" x14ac:dyDescent="0.3">
      <c r="N328" s="50"/>
      <c r="O328" s="50"/>
      <c r="P328" s="50"/>
      <c r="Q328" s="50"/>
      <c r="R328" s="50"/>
      <c r="S328" s="51"/>
      <c r="T328" s="50"/>
      <c r="U328" s="50"/>
      <c r="V328" s="73"/>
      <c r="W328" s="50"/>
      <c r="X328" s="50"/>
      <c r="Y328" s="37"/>
      <c r="Z328" s="37"/>
      <c r="AA328" s="37"/>
      <c r="AB328" s="37"/>
      <c r="AC328" s="72"/>
      <c r="AD328" s="37"/>
      <c r="AN328" s="50"/>
      <c r="AO328" s="50"/>
      <c r="AP328" s="50"/>
      <c r="AQ328" s="50"/>
      <c r="AR328" s="50"/>
      <c r="AS328" s="51"/>
      <c r="AT328" s="50"/>
      <c r="AU328" s="50"/>
      <c r="AV328" s="73"/>
      <c r="AW328" s="50"/>
      <c r="AX328" s="50"/>
    </row>
    <row r="329" spans="14:50" x14ac:dyDescent="0.3">
      <c r="N329" s="50"/>
      <c r="O329" s="50"/>
      <c r="P329" s="50"/>
      <c r="Q329" s="50"/>
      <c r="R329" s="50"/>
      <c r="S329" s="51"/>
      <c r="T329" s="50"/>
      <c r="U329" s="50"/>
      <c r="V329" s="73"/>
      <c r="W329" s="50"/>
      <c r="X329" s="50"/>
      <c r="Y329" s="37"/>
      <c r="Z329" s="37"/>
      <c r="AA329" s="37"/>
      <c r="AB329" s="37"/>
      <c r="AC329" s="72"/>
      <c r="AD329" s="37"/>
      <c r="AN329" s="50"/>
      <c r="AO329" s="50"/>
      <c r="AP329" s="50"/>
      <c r="AQ329" s="50"/>
      <c r="AR329" s="50"/>
      <c r="AS329" s="51"/>
      <c r="AT329" s="50"/>
      <c r="AU329" s="50"/>
      <c r="AV329" s="73"/>
      <c r="AW329" s="50"/>
      <c r="AX329" s="50"/>
    </row>
    <row r="330" spans="14:50" x14ac:dyDescent="0.3">
      <c r="N330" s="50"/>
      <c r="O330" s="50"/>
      <c r="P330" s="50"/>
      <c r="Q330" s="50"/>
      <c r="R330" s="50"/>
      <c r="S330" s="51"/>
      <c r="T330" s="50"/>
      <c r="U330" s="50"/>
      <c r="V330" s="73"/>
      <c r="W330" s="50"/>
      <c r="X330" s="50"/>
      <c r="Y330" s="37"/>
      <c r="Z330" s="37"/>
      <c r="AA330" s="37"/>
      <c r="AB330" s="37"/>
      <c r="AC330" s="72"/>
      <c r="AD330" s="37"/>
      <c r="AN330" s="50"/>
      <c r="AO330" s="50"/>
      <c r="AP330" s="50"/>
      <c r="AQ330" s="50"/>
      <c r="AR330" s="50"/>
      <c r="AS330" s="51"/>
      <c r="AT330" s="50"/>
      <c r="AU330" s="50"/>
      <c r="AV330" s="73"/>
      <c r="AW330" s="50"/>
      <c r="AX330" s="50"/>
    </row>
    <row r="331" spans="14:50" x14ac:dyDescent="0.3">
      <c r="N331" s="50"/>
      <c r="O331" s="50"/>
      <c r="P331" s="50"/>
      <c r="Q331" s="50"/>
      <c r="R331" s="50"/>
      <c r="S331" s="51"/>
      <c r="T331" s="50"/>
      <c r="U331" s="50"/>
      <c r="V331" s="73"/>
      <c r="W331" s="50"/>
      <c r="X331" s="50"/>
      <c r="Y331" s="37"/>
      <c r="Z331" s="37"/>
      <c r="AA331" s="37"/>
      <c r="AB331" s="37"/>
      <c r="AC331" s="72"/>
      <c r="AD331" s="37"/>
      <c r="AN331" s="50"/>
      <c r="AO331" s="50"/>
      <c r="AP331" s="50"/>
      <c r="AQ331" s="50"/>
      <c r="AR331" s="50"/>
      <c r="AS331" s="51"/>
      <c r="AT331" s="50"/>
      <c r="AU331" s="50"/>
      <c r="AV331" s="73"/>
      <c r="AW331" s="50"/>
      <c r="AX331" s="50"/>
    </row>
    <row r="332" spans="14:50" x14ac:dyDescent="0.3">
      <c r="N332" s="50"/>
      <c r="O332" s="50"/>
      <c r="P332" s="50"/>
      <c r="Q332" s="50"/>
      <c r="R332" s="50"/>
      <c r="S332" s="51"/>
      <c r="T332" s="50"/>
      <c r="U332" s="50"/>
      <c r="V332" s="73"/>
      <c r="W332" s="50"/>
      <c r="X332" s="50"/>
      <c r="Y332" s="37"/>
      <c r="Z332" s="37"/>
      <c r="AA332" s="37"/>
      <c r="AB332" s="37"/>
      <c r="AC332" s="72"/>
      <c r="AD332" s="37"/>
      <c r="AN332" s="50"/>
      <c r="AO332" s="50"/>
      <c r="AP332" s="50"/>
      <c r="AQ332" s="50"/>
      <c r="AR332" s="50"/>
      <c r="AS332" s="51"/>
      <c r="AT332" s="50"/>
      <c r="AU332" s="50"/>
      <c r="AV332" s="73"/>
      <c r="AW332" s="50"/>
      <c r="AX332" s="50"/>
    </row>
    <row r="333" spans="14:50" x14ac:dyDescent="0.3">
      <c r="N333" s="50"/>
      <c r="O333" s="50"/>
      <c r="P333" s="50"/>
      <c r="Q333" s="50"/>
      <c r="R333" s="50"/>
      <c r="S333" s="51"/>
      <c r="T333" s="50"/>
      <c r="U333" s="50"/>
      <c r="V333" s="73"/>
      <c r="W333" s="50"/>
      <c r="X333" s="50"/>
      <c r="Y333" s="37"/>
      <c r="Z333" s="37"/>
      <c r="AA333" s="37"/>
      <c r="AB333" s="37"/>
      <c r="AC333" s="72"/>
      <c r="AD333" s="37"/>
      <c r="AN333" s="50"/>
      <c r="AO333" s="50"/>
      <c r="AP333" s="50"/>
      <c r="AQ333" s="50"/>
      <c r="AR333" s="50"/>
      <c r="AS333" s="51"/>
      <c r="AT333" s="50"/>
      <c r="AU333" s="50"/>
      <c r="AV333" s="73"/>
      <c r="AW333" s="50"/>
      <c r="AX333" s="50"/>
    </row>
    <row r="334" spans="14:50" x14ac:dyDescent="0.3">
      <c r="N334" s="50"/>
      <c r="O334" s="50"/>
      <c r="P334" s="50"/>
      <c r="Q334" s="50"/>
      <c r="R334" s="50"/>
      <c r="S334" s="51"/>
      <c r="T334" s="50"/>
      <c r="U334" s="50"/>
      <c r="V334" s="73"/>
      <c r="W334" s="50"/>
      <c r="X334" s="50"/>
      <c r="Y334" s="37"/>
      <c r="Z334" s="37"/>
      <c r="AA334" s="37"/>
      <c r="AB334" s="37"/>
      <c r="AC334" s="72"/>
      <c r="AD334" s="37"/>
      <c r="AN334" s="50"/>
      <c r="AO334" s="50"/>
      <c r="AP334" s="50"/>
      <c r="AQ334" s="50"/>
      <c r="AR334" s="50"/>
      <c r="AS334" s="51"/>
      <c r="AT334" s="50"/>
      <c r="AU334" s="50"/>
      <c r="AV334" s="73"/>
      <c r="AW334" s="50"/>
      <c r="AX334" s="50"/>
    </row>
    <row r="335" spans="14:50" x14ac:dyDescent="0.3">
      <c r="N335" s="50"/>
      <c r="O335" s="50"/>
      <c r="P335" s="50"/>
      <c r="Q335" s="50"/>
      <c r="R335" s="50"/>
      <c r="S335" s="51"/>
      <c r="T335" s="50"/>
      <c r="U335" s="50"/>
      <c r="V335" s="73"/>
      <c r="W335" s="50"/>
      <c r="X335" s="50"/>
      <c r="Y335" s="37"/>
      <c r="Z335" s="37"/>
      <c r="AA335" s="37"/>
      <c r="AB335" s="37"/>
      <c r="AC335" s="72"/>
      <c r="AD335" s="37"/>
      <c r="AN335" s="50"/>
      <c r="AO335" s="50"/>
      <c r="AP335" s="50"/>
      <c r="AQ335" s="50"/>
      <c r="AR335" s="50"/>
      <c r="AS335" s="51"/>
      <c r="AT335" s="50"/>
      <c r="AU335" s="50"/>
      <c r="AV335" s="73"/>
      <c r="AW335" s="50"/>
      <c r="AX335" s="50"/>
    </row>
    <row r="336" spans="14:50" x14ac:dyDescent="0.3">
      <c r="N336" s="50"/>
      <c r="O336" s="50"/>
      <c r="P336" s="50"/>
      <c r="Q336" s="50"/>
      <c r="R336" s="50"/>
      <c r="S336" s="51"/>
      <c r="T336" s="50"/>
      <c r="U336" s="50"/>
      <c r="V336" s="73"/>
      <c r="W336" s="50"/>
      <c r="X336" s="50"/>
      <c r="Y336" s="37"/>
      <c r="Z336" s="37"/>
      <c r="AA336" s="37"/>
      <c r="AB336" s="37"/>
      <c r="AC336" s="72"/>
      <c r="AD336" s="37"/>
      <c r="AN336" s="50"/>
      <c r="AO336" s="50"/>
      <c r="AP336" s="50"/>
      <c r="AQ336" s="50"/>
      <c r="AR336" s="50"/>
      <c r="AS336" s="51"/>
      <c r="AT336" s="50"/>
      <c r="AU336" s="50"/>
      <c r="AV336" s="73"/>
      <c r="AW336" s="50"/>
      <c r="AX336" s="50"/>
    </row>
    <row r="337" spans="14:50" x14ac:dyDescent="0.3">
      <c r="N337" s="50"/>
      <c r="O337" s="50"/>
      <c r="P337" s="50"/>
      <c r="Q337" s="50"/>
      <c r="R337" s="50"/>
      <c r="S337" s="51"/>
      <c r="T337" s="50"/>
      <c r="U337" s="50"/>
      <c r="V337" s="73"/>
      <c r="W337" s="50"/>
      <c r="X337" s="50"/>
      <c r="Y337" s="37"/>
      <c r="Z337" s="37"/>
      <c r="AA337" s="37"/>
      <c r="AB337" s="37"/>
      <c r="AC337" s="72"/>
      <c r="AD337" s="37"/>
      <c r="AN337" s="50"/>
      <c r="AO337" s="50"/>
      <c r="AP337" s="50"/>
      <c r="AQ337" s="50"/>
      <c r="AR337" s="50"/>
      <c r="AS337" s="51"/>
      <c r="AT337" s="50"/>
      <c r="AU337" s="50"/>
      <c r="AV337" s="73"/>
      <c r="AW337" s="50"/>
      <c r="AX337" s="50"/>
    </row>
    <row r="338" spans="14:50" x14ac:dyDescent="0.3">
      <c r="N338" s="50"/>
      <c r="O338" s="50"/>
      <c r="P338" s="50"/>
      <c r="Q338" s="50"/>
      <c r="R338" s="50"/>
      <c r="S338" s="51"/>
      <c r="T338" s="50"/>
      <c r="U338" s="50"/>
      <c r="V338" s="73"/>
      <c r="W338" s="50"/>
      <c r="X338" s="50"/>
      <c r="Y338" s="37"/>
      <c r="Z338" s="37"/>
      <c r="AA338" s="37"/>
      <c r="AB338" s="37"/>
      <c r="AC338" s="72"/>
      <c r="AD338" s="37"/>
      <c r="AN338" s="50"/>
      <c r="AO338" s="50"/>
      <c r="AP338" s="50"/>
      <c r="AQ338" s="50"/>
      <c r="AR338" s="50"/>
      <c r="AS338" s="51"/>
      <c r="AT338" s="50"/>
      <c r="AU338" s="50"/>
      <c r="AV338" s="73"/>
      <c r="AW338" s="50"/>
      <c r="AX338" s="50"/>
    </row>
    <row r="339" spans="14:50" x14ac:dyDescent="0.3">
      <c r="N339" s="50"/>
      <c r="O339" s="50"/>
      <c r="P339" s="50"/>
      <c r="Q339" s="50"/>
      <c r="R339" s="50"/>
      <c r="S339" s="51"/>
      <c r="T339" s="50"/>
      <c r="U339" s="50"/>
      <c r="V339" s="73"/>
      <c r="W339" s="50"/>
      <c r="X339" s="50"/>
      <c r="Y339" s="37"/>
      <c r="Z339" s="37"/>
      <c r="AA339" s="37"/>
      <c r="AB339" s="37"/>
      <c r="AC339" s="72"/>
      <c r="AD339" s="37"/>
      <c r="AN339" s="50"/>
      <c r="AO339" s="50"/>
      <c r="AP339" s="50"/>
      <c r="AQ339" s="50"/>
      <c r="AR339" s="50"/>
      <c r="AS339" s="51"/>
      <c r="AT339" s="50"/>
      <c r="AU339" s="50"/>
      <c r="AV339" s="73"/>
      <c r="AW339" s="50"/>
      <c r="AX339" s="50"/>
    </row>
    <row r="340" spans="14:50" x14ac:dyDescent="0.3">
      <c r="N340" s="50"/>
      <c r="O340" s="50"/>
      <c r="P340" s="50"/>
      <c r="Q340" s="50"/>
      <c r="R340" s="50"/>
      <c r="S340" s="51"/>
      <c r="T340" s="50"/>
      <c r="U340" s="50"/>
      <c r="V340" s="73"/>
      <c r="W340" s="50"/>
      <c r="X340" s="50"/>
      <c r="Y340" s="37"/>
      <c r="Z340" s="37"/>
      <c r="AA340" s="37"/>
      <c r="AB340" s="37"/>
      <c r="AC340" s="72"/>
      <c r="AD340" s="37"/>
      <c r="AN340" s="50"/>
      <c r="AO340" s="50"/>
      <c r="AP340" s="50"/>
      <c r="AQ340" s="50"/>
      <c r="AR340" s="50"/>
      <c r="AS340" s="51"/>
      <c r="AT340" s="50"/>
      <c r="AU340" s="50"/>
      <c r="AV340" s="73"/>
      <c r="AW340" s="50"/>
      <c r="AX340" s="50"/>
    </row>
    <row r="341" spans="14:50" x14ac:dyDescent="0.3">
      <c r="N341" s="50"/>
      <c r="O341" s="50"/>
      <c r="P341" s="50"/>
      <c r="Q341" s="50"/>
      <c r="R341" s="50"/>
      <c r="S341" s="51"/>
      <c r="T341" s="50"/>
      <c r="U341" s="50"/>
      <c r="V341" s="73"/>
      <c r="W341" s="50"/>
      <c r="X341" s="50"/>
      <c r="Y341" s="37"/>
      <c r="Z341" s="37"/>
      <c r="AA341" s="37"/>
      <c r="AB341" s="37"/>
      <c r="AC341" s="72"/>
      <c r="AD341" s="37"/>
      <c r="AN341" s="50"/>
      <c r="AO341" s="50"/>
      <c r="AP341" s="50"/>
      <c r="AQ341" s="50"/>
      <c r="AR341" s="50"/>
      <c r="AS341" s="51"/>
      <c r="AT341" s="50"/>
      <c r="AU341" s="50"/>
      <c r="AV341" s="73"/>
      <c r="AW341" s="50"/>
      <c r="AX341" s="50"/>
    </row>
    <row r="342" spans="14:50" x14ac:dyDescent="0.3">
      <c r="N342" s="50"/>
      <c r="O342" s="50"/>
      <c r="P342" s="50"/>
      <c r="Q342" s="50"/>
      <c r="R342" s="50"/>
      <c r="S342" s="51"/>
      <c r="T342" s="50"/>
      <c r="U342" s="50"/>
      <c r="V342" s="73"/>
      <c r="W342" s="50"/>
      <c r="X342" s="50"/>
      <c r="Y342" s="37"/>
      <c r="Z342" s="37"/>
      <c r="AA342" s="37"/>
      <c r="AB342" s="37"/>
      <c r="AC342" s="72"/>
      <c r="AD342" s="37"/>
      <c r="AN342" s="50"/>
      <c r="AO342" s="50"/>
      <c r="AP342" s="50"/>
      <c r="AQ342" s="50"/>
      <c r="AR342" s="50"/>
      <c r="AS342" s="51"/>
      <c r="AT342" s="50"/>
      <c r="AU342" s="50"/>
      <c r="AV342" s="73"/>
      <c r="AW342" s="50"/>
      <c r="AX342" s="50"/>
    </row>
    <row r="343" spans="14:50" x14ac:dyDescent="0.3">
      <c r="N343" s="50"/>
      <c r="O343" s="50"/>
      <c r="P343" s="50"/>
      <c r="Q343" s="50"/>
      <c r="R343" s="50"/>
      <c r="S343" s="51"/>
      <c r="T343" s="50"/>
      <c r="U343" s="50"/>
      <c r="V343" s="73"/>
      <c r="W343" s="50"/>
      <c r="X343" s="50"/>
      <c r="Y343" s="37"/>
      <c r="Z343" s="37"/>
      <c r="AA343" s="37"/>
      <c r="AB343" s="37"/>
      <c r="AC343" s="72"/>
      <c r="AD343" s="37"/>
      <c r="AN343" s="50"/>
      <c r="AO343" s="50"/>
      <c r="AP343" s="50"/>
      <c r="AQ343" s="50"/>
      <c r="AR343" s="50"/>
      <c r="AS343" s="51"/>
      <c r="AT343" s="50"/>
      <c r="AU343" s="50"/>
      <c r="AV343" s="73"/>
      <c r="AW343" s="50"/>
      <c r="AX343" s="50"/>
    </row>
    <row r="344" spans="14:50" x14ac:dyDescent="0.3">
      <c r="N344" s="50"/>
      <c r="O344" s="50"/>
      <c r="P344" s="50"/>
      <c r="Q344" s="50"/>
      <c r="R344" s="50"/>
      <c r="S344" s="51"/>
      <c r="T344" s="50"/>
      <c r="U344" s="50"/>
      <c r="V344" s="73"/>
      <c r="W344" s="50"/>
      <c r="X344" s="50"/>
      <c r="Y344" s="37"/>
      <c r="Z344" s="37"/>
      <c r="AA344" s="37"/>
      <c r="AB344" s="37"/>
      <c r="AC344" s="72"/>
      <c r="AD344" s="37"/>
      <c r="AN344" s="50"/>
      <c r="AO344" s="50"/>
      <c r="AP344" s="50"/>
      <c r="AQ344" s="50"/>
      <c r="AR344" s="50"/>
      <c r="AS344" s="51"/>
      <c r="AT344" s="50"/>
      <c r="AU344" s="50"/>
      <c r="AV344" s="73"/>
      <c r="AW344" s="50"/>
      <c r="AX344" s="50"/>
    </row>
    <row r="345" spans="14:50" x14ac:dyDescent="0.3">
      <c r="N345" s="50"/>
      <c r="O345" s="50"/>
      <c r="P345" s="50"/>
      <c r="Q345" s="50"/>
      <c r="R345" s="50"/>
      <c r="S345" s="51"/>
      <c r="T345" s="50"/>
      <c r="U345" s="50"/>
      <c r="V345" s="73"/>
      <c r="W345" s="50"/>
      <c r="X345" s="50"/>
      <c r="Y345" s="37"/>
      <c r="Z345" s="37"/>
      <c r="AA345" s="37"/>
      <c r="AB345" s="37"/>
      <c r="AC345" s="72"/>
      <c r="AD345" s="37"/>
      <c r="AN345" s="50"/>
      <c r="AO345" s="50"/>
      <c r="AP345" s="50"/>
      <c r="AQ345" s="50"/>
      <c r="AR345" s="50"/>
      <c r="AS345" s="51"/>
      <c r="AT345" s="50"/>
      <c r="AU345" s="50"/>
      <c r="AV345" s="73"/>
      <c r="AW345" s="50"/>
      <c r="AX345" s="50"/>
    </row>
    <row r="346" spans="14:50" x14ac:dyDescent="0.3">
      <c r="N346" s="50"/>
      <c r="O346" s="50"/>
      <c r="P346" s="50"/>
      <c r="Q346" s="50"/>
      <c r="R346" s="50"/>
      <c r="S346" s="51"/>
      <c r="T346" s="50"/>
      <c r="U346" s="50"/>
      <c r="V346" s="73"/>
      <c r="W346" s="50"/>
      <c r="X346" s="50"/>
      <c r="Y346" s="37"/>
      <c r="Z346" s="37"/>
      <c r="AA346" s="37"/>
      <c r="AB346" s="37"/>
      <c r="AC346" s="72"/>
      <c r="AD346" s="37"/>
      <c r="AN346" s="50"/>
      <c r="AO346" s="50"/>
      <c r="AP346" s="50"/>
      <c r="AQ346" s="50"/>
      <c r="AR346" s="50"/>
      <c r="AS346" s="51"/>
      <c r="AT346" s="50"/>
      <c r="AU346" s="50"/>
      <c r="AV346" s="73"/>
      <c r="AW346" s="50"/>
      <c r="AX346" s="50"/>
    </row>
    <row r="347" spans="14:50" x14ac:dyDescent="0.3">
      <c r="N347" s="50"/>
      <c r="O347" s="50"/>
      <c r="P347" s="50"/>
      <c r="Q347" s="50"/>
      <c r="R347" s="50"/>
      <c r="S347" s="51"/>
      <c r="T347" s="50"/>
      <c r="U347" s="50"/>
      <c r="V347" s="73"/>
      <c r="W347" s="50"/>
      <c r="X347" s="50"/>
      <c r="Y347" s="37"/>
      <c r="Z347" s="37"/>
      <c r="AA347" s="37"/>
      <c r="AB347" s="37"/>
      <c r="AC347" s="72"/>
      <c r="AD347" s="37"/>
      <c r="AN347" s="50"/>
      <c r="AO347" s="50"/>
      <c r="AP347" s="50"/>
      <c r="AQ347" s="50"/>
      <c r="AR347" s="50"/>
      <c r="AS347" s="51"/>
      <c r="AT347" s="50"/>
      <c r="AU347" s="50"/>
      <c r="AV347" s="73"/>
      <c r="AW347" s="50"/>
      <c r="AX347" s="50"/>
    </row>
    <row r="348" spans="14:50" x14ac:dyDescent="0.3">
      <c r="N348" s="50"/>
      <c r="O348" s="50"/>
      <c r="P348" s="50"/>
      <c r="Q348" s="50"/>
      <c r="R348" s="50"/>
      <c r="S348" s="51"/>
      <c r="T348" s="50"/>
      <c r="U348" s="50"/>
      <c r="V348" s="73"/>
      <c r="W348" s="50"/>
      <c r="X348" s="50"/>
      <c r="Y348" s="37"/>
      <c r="Z348" s="37"/>
      <c r="AA348" s="37"/>
      <c r="AB348" s="37"/>
      <c r="AC348" s="72"/>
      <c r="AD348" s="37"/>
      <c r="AN348" s="50"/>
      <c r="AO348" s="50"/>
      <c r="AP348" s="50"/>
      <c r="AQ348" s="50"/>
      <c r="AR348" s="50"/>
      <c r="AS348" s="51"/>
      <c r="AT348" s="50"/>
      <c r="AU348" s="50"/>
      <c r="AV348" s="73"/>
      <c r="AW348" s="50"/>
      <c r="AX348" s="50"/>
    </row>
    <row r="349" spans="14:50" x14ac:dyDescent="0.3">
      <c r="N349" s="50"/>
      <c r="O349" s="50"/>
      <c r="P349" s="50"/>
      <c r="Q349" s="50"/>
      <c r="R349" s="50"/>
      <c r="S349" s="51"/>
      <c r="T349" s="50"/>
      <c r="U349" s="50"/>
      <c r="V349" s="73"/>
      <c r="W349" s="50"/>
      <c r="X349" s="50"/>
      <c r="Y349" s="37"/>
      <c r="Z349" s="37"/>
      <c r="AA349" s="37"/>
      <c r="AB349" s="37"/>
      <c r="AC349" s="72"/>
      <c r="AD349" s="37"/>
      <c r="AN349" s="50"/>
      <c r="AO349" s="50"/>
      <c r="AP349" s="50"/>
      <c r="AQ349" s="50"/>
      <c r="AR349" s="50"/>
      <c r="AS349" s="51"/>
      <c r="AT349" s="50"/>
      <c r="AU349" s="50"/>
      <c r="AV349" s="73"/>
      <c r="AW349" s="50"/>
      <c r="AX349" s="50"/>
    </row>
    <row r="350" spans="14:50" x14ac:dyDescent="0.3">
      <c r="N350" s="50"/>
      <c r="O350" s="50"/>
      <c r="P350" s="50"/>
      <c r="Q350" s="50"/>
      <c r="R350" s="50"/>
      <c r="S350" s="51"/>
      <c r="T350" s="50"/>
      <c r="U350" s="50"/>
      <c r="V350" s="73"/>
      <c r="W350" s="50"/>
      <c r="X350" s="50"/>
      <c r="Y350" s="37"/>
      <c r="Z350" s="37"/>
      <c r="AA350" s="37"/>
      <c r="AB350" s="37"/>
      <c r="AC350" s="72"/>
      <c r="AD350" s="37"/>
      <c r="AN350" s="50"/>
      <c r="AO350" s="50"/>
      <c r="AP350" s="50"/>
      <c r="AQ350" s="50"/>
      <c r="AR350" s="50"/>
      <c r="AS350" s="51"/>
      <c r="AT350" s="50"/>
      <c r="AU350" s="50"/>
      <c r="AV350" s="73"/>
      <c r="AW350" s="50"/>
      <c r="AX350" s="50"/>
    </row>
    <row r="351" spans="14:50" x14ac:dyDescent="0.3">
      <c r="N351" s="50"/>
      <c r="O351" s="50"/>
      <c r="P351" s="50"/>
      <c r="Q351" s="50"/>
      <c r="R351" s="50"/>
      <c r="S351" s="51"/>
      <c r="T351" s="50"/>
      <c r="U351" s="50"/>
      <c r="V351" s="73"/>
      <c r="W351" s="50"/>
      <c r="X351" s="50"/>
      <c r="Y351" s="37"/>
      <c r="Z351" s="37"/>
      <c r="AA351" s="37"/>
      <c r="AB351" s="37"/>
      <c r="AC351" s="72"/>
      <c r="AD351" s="37"/>
      <c r="AN351" s="50"/>
      <c r="AO351" s="50"/>
      <c r="AP351" s="50"/>
      <c r="AQ351" s="50"/>
      <c r="AR351" s="50"/>
      <c r="AS351" s="51"/>
      <c r="AT351" s="50"/>
      <c r="AU351" s="50"/>
      <c r="AV351" s="73"/>
      <c r="AW351" s="50"/>
      <c r="AX351" s="50"/>
    </row>
    <row r="352" spans="14:50" x14ac:dyDescent="0.3">
      <c r="N352" s="50"/>
      <c r="O352" s="50"/>
      <c r="P352" s="50"/>
      <c r="Q352" s="50"/>
      <c r="R352" s="50"/>
      <c r="S352" s="51"/>
      <c r="T352" s="50"/>
      <c r="U352" s="50"/>
      <c r="V352" s="73"/>
      <c r="W352" s="50"/>
      <c r="X352" s="50"/>
      <c r="Y352" s="37"/>
      <c r="Z352" s="37"/>
      <c r="AA352" s="37"/>
      <c r="AB352" s="37"/>
      <c r="AC352" s="72"/>
      <c r="AD352" s="37"/>
      <c r="AN352" s="50"/>
      <c r="AO352" s="50"/>
      <c r="AP352" s="50"/>
      <c r="AQ352" s="50"/>
      <c r="AR352" s="50"/>
      <c r="AS352" s="51"/>
      <c r="AT352" s="50"/>
      <c r="AU352" s="50"/>
      <c r="AV352" s="73"/>
      <c r="AW352" s="50"/>
      <c r="AX352" s="50"/>
    </row>
    <row r="353" spans="14:50" x14ac:dyDescent="0.3">
      <c r="N353" s="50"/>
      <c r="O353" s="50"/>
      <c r="P353" s="50"/>
      <c r="Q353" s="50"/>
      <c r="R353" s="50"/>
      <c r="S353" s="51"/>
      <c r="T353" s="50"/>
      <c r="U353" s="50"/>
      <c r="V353" s="73"/>
      <c r="W353" s="50"/>
      <c r="X353" s="50"/>
      <c r="Y353" s="37"/>
      <c r="Z353" s="37"/>
      <c r="AA353" s="37"/>
      <c r="AB353" s="37"/>
      <c r="AC353" s="72"/>
      <c r="AD353" s="37"/>
      <c r="AN353" s="50"/>
      <c r="AO353" s="50"/>
      <c r="AP353" s="50"/>
      <c r="AQ353" s="50"/>
      <c r="AR353" s="50"/>
      <c r="AS353" s="51"/>
      <c r="AT353" s="50"/>
      <c r="AU353" s="50"/>
      <c r="AV353" s="73"/>
      <c r="AW353" s="50"/>
      <c r="AX353" s="50"/>
    </row>
    <row r="354" spans="14:50" x14ac:dyDescent="0.3">
      <c r="N354" s="50"/>
      <c r="O354" s="50"/>
      <c r="P354" s="50"/>
      <c r="Q354" s="50"/>
      <c r="R354" s="50"/>
      <c r="S354" s="51"/>
      <c r="T354" s="50"/>
      <c r="U354" s="50"/>
      <c r="V354" s="73"/>
      <c r="W354" s="50"/>
      <c r="X354" s="50"/>
      <c r="Y354" s="37"/>
      <c r="Z354" s="37"/>
      <c r="AA354" s="37"/>
      <c r="AB354" s="37"/>
      <c r="AC354" s="72"/>
      <c r="AD354" s="37"/>
      <c r="AN354" s="50"/>
      <c r="AO354" s="50"/>
      <c r="AP354" s="50"/>
      <c r="AQ354" s="50"/>
      <c r="AR354" s="50"/>
      <c r="AS354" s="51"/>
      <c r="AT354" s="50"/>
      <c r="AU354" s="50"/>
      <c r="AV354" s="73"/>
      <c r="AW354" s="50"/>
      <c r="AX354" s="50"/>
    </row>
    <row r="355" spans="14:50" x14ac:dyDescent="0.3">
      <c r="N355" s="50"/>
      <c r="O355" s="50"/>
      <c r="P355" s="50"/>
      <c r="Q355" s="50"/>
      <c r="R355" s="50"/>
      <c r="S355" s="51"/>
      <c r="T355" s="50"/>
      <c r="U355" s="50"/>
      <c r="V355" s="73"/>
      <c r="W355" s="50"/>
      <c r="X355" s="50"/>
      <c r="Y355" s="37"/>
      <c r="Z355" s="37"/>
      <c r="AA355" s="37"/>
      <c r="AB355" s="37"/>
      <c r="AC355" s="72"/>
      <c r="AD355" s="37"/>
      <c r="AN355" s="50"/>
      <c r="AO355" s="50"/>
      <c r="AP355" s="50"/>
      <c r="AQ355" s="50"/>
      <c r="AR355" s="50"/>
      <c r="AS355" s="51"/>
      <c r="AT355" s="50"/>
      <c r="AU355" s="50"/>
      <c r="AV355" s="73"/>
      <c r="AW355" s="50"/>
      <c r="AX355" s="50"/>
    </row>
    <row r="356" spans="14:50" x14ac:dyDescent="0.3">
      <c r="N356" s="50"/>
      <c r="O356" s="50"/>
      <c r="P356" s="50"/>
      <c r="Q356" s="50"/>
      <c r="R356" s="50"/>
      <c r="S356" s="51"/>
      <c r="T356" s="50"/>
      <c r="U356" s="50"/>
      <c r="V356" s="73"/>
      <c r="W356" s="50"/>
      <c r="X356" s="50"/>
      <c r="Y356" s="37"/>
      <c r="Z356" s="37"/>
      <c r="AA356" s="37"/>
      <c r="AB356" s="37"/>
      <c r="AC356" s="72"/>
      <c r="AD356" s="37"/>
      <c r="AN356" s="50"/>
      <c r="AO356" s="50"/>
      <c r="AP356" s="50"/>
      <c r="AQ356" s="50"/>
      <c r="AR356" s="50"/>
      <c r="AS356" s="51"/>
      <c r="AT356" s="50"/>
      <c r="AU356" s="50"/>
      <c r="AV356" s="73"/>
      <c r="AW356" s="50"/>
      <c r="AX356" s="50"/>
    </row>
    <row r="357" spans="14:50" x14ac:dyDescent="0.3">
      <c r="N357" s="50"/>
      <c r="O357" s="50"/>
      <c r="P357" s="50"/>
      <c r="Q357" s="50"/>
      <c r="R357" s="50"/>
      <c r="S357" s="51"/>
      <c r="T357" s="50"/>
      <c r="U357" s="50"/>
      <c r="V357" s="73"/>
      <c r="W357" s="50"/>
      <c r="X357" s="50"/>
      <c r="Y357" s="37"/>
      <c r="Z357" s="37"/>
      <c r="AA357" s="37"/>
      <c r="AB357" s="37"/>
      <c r="AC357" s="72"/>
      <c r="AD357" s="37"/>
      <c r="AN357" s="50"/>
      <c r="AO357" s="50"/>
      <c r="AP357" s="50"/>
      <c r="AQ357" s="50"/>
      <c r="AR357" s="50"/>
      <c r="AS357" s="51"/>
      <c r="AT357" s="50"/>
      <c r="AU357" s="50"/>
      <c r="AV357" s="73"/>
      <c r="AW357" s="50"/>
      <c r="AX357" s="50"/>
    </row>
    <row r="358" spans="14:50" x14ac:dyDescent="0.3">
      <c r="N358" s="50"/>
      <c r="O358" s="50"/>
      <c r="P358" s="50"/>
      <c r="Q358" s="50"/>
      <c r="R358" s="50"/>
      <c r="S358" s="51"/>
      <c r="T358" s="50"/>
      <c r="U358" s="50"/>
      <c r="V358" s="73"/>
      <c r="W358" s="50"/>
      <c r="X358" s="50"/>
      <c r="Y358" s="37"/>
      <c r="Z358" s="37"/>
      <c r="AA358" s="37"/>
      <c r="AB358" s="37"/>
      <c r="AC358" s="72"/>
      <c r="AD358" s="37"/>
      <c r="AN358" s="50"/>
      <c r="AO358" s="50"/>
      <c r="AP358" s="50"/>
      <c r="AQ358" s="50"/>
      <c r="AR358" s="50"/>
      <c r="AS358" s="51"/>
      <c r="AT358" s="50"/>
      <c r="AU358" s="50"/>
      <c r="AV358" s="73"/>
      <c r="AW358" s="50"/>
      <c r="AX358" s="50"/>
    </row>
    <row r="359" spans="14:50" x14ac:dyDescent="0.3">
      <c r="N359" s="50"/>
      <c r="O359" s="50"/>
      <c r="P359" s="50"/>
      <c r="Q359" s="50"/>
      <c r="R359" s="50"/>
      <c r="S359" s="51"/>
      <c r="T359" s="50"/>
      <c r="U359" s="50"/>
      <c r="V359" s="73"/>
      <c r="W359" s="50"/>
      <c r="X359" s="50"/>
      <c r="Y359" s="37"/>
      <c r="Z359" s="37"/>
      <c r="AA359" s="37"/>
      <c r="AB359" s="37"/>
      <c r="AC359" s="72"/>
      <c r="AD359" s="37"/>
      <c r="AN359" s="50"/>
      <c r="AO359" s="50"/>
      <c r="AP359" s="50"/>
      <c r="AQ359" s="50"/>
      <c r="AR359" s="50"/>
      <c r="AS359" s="51"/>
      <c r="AT359" s="50"/>
      <c r="AU359" s="50"/>
      <c r="AV359" s="73"/>
      <c r="AW359" s="50"/>
      <c r="AX359" s="50"/>
    </row>
    <row r="360" spans="14:50" x14ac:dyDescent="0.3">
      <c r="N360" s="50"/>
      <c r="O360" s="50"/>
      <c r="P360" s="50"/>
      <c r="Q360" s="50"/>
      <c r="R360" s="50"/>
      <c r="S360" s="51"/>
      <c r="T360" s="50"/>
      <c r="U360" s="50"/>
      <c r="V360" s="73"/>
      <c r="W360" s="50"/>
      <c r="X360" s="50"/>
      <c r="AN360" s="50"/>
      <c r="AO360" s="50"/>
      <c r="AP360" s="50"/>
      <c r="AQ360" s="50"/>
      <c r="AR360" s="50"/>
      <c r="AS360" s="51"/>
      <c r="AT360" s="50"/>
      <c r="AU360" s="50"/>
      <c r="AV360" s="73"/>
      <c r="AW360" s="50"/>
      <c r="AX360" s="50"/>
    </row>
    <row r="361" spans="14:50" x14ac:dyDescent="0.3">
      <c r="N361" s="50"/>
      <c r="O361" s="50"/>
      <c r="P361" s="50"/>
      <c r="Q361" s="50"/>
      <c r="R361" s="50"/>
      <c r="S361" s="51"/>
      <c r="T361" s="50"/>
      <c r="U361" s="50"/>
      <c r="V361" s="73"/>
      <c r="W361" s="50"/>
      <c r="X361" s="50"/>
      <c r="AN361" s="50"/>
      <c r="AO361" s="50"/>
      <c r="AP361" s="50"/>
      <c r="AQ361" s="50"/>
      <c r="AR361" s="50"/>
      <c r="AS361" s="51"/>
      <c r="AT361" s="50"/>
      <c r="AU361" s="50"/>
      <c r="AV361" s="73"/>
      <c r="AW361" s="50"/>
      <c r="AX361" s="50"/>
    </row>
    <row r="362" spans="14:50" x14ac:dyDescent="0.3">
      <c r="N362" s="50"/>
      <c r="O362" s="50"/>
      <c r="P362" s="50"/>
      <c r="Q362" s="50"/>
      <c r="R362" s="50"/>
      <c r="S362" s="51"/>
      <c r="T362" s="50"/>
      <c r="U362" s="50"/>
      <c r="V362" s="73"/>
      <c r="W362" s="50"/>
      <c r="X362" s="50"/>
      <c r="AN362" s="50"/>
      <c r="AO362" s="50"/>
      <c r="AP362" s="50"/>
      <c r="AQ362" s="50"/>
      <c r="AR362" s="50"/>
      <c r="AS362" s="51"/>
      <c r="AT362" s="50"/>
      <c r="AU362" s="50"/>
      <c r="AV362" s="73"/>
      <c r="AW362" s="50"/>
      <c r="AX362" s="50"/>
    </row>
    <row r="363" spans="14:50" x14ac:dyDescent="0.3">
      <c r="N363" s="50"/>
      <c r="O363" s="50"/>
      <c r="P363" s="50"/>
      <c r="Q363" s="50"/>
      <c r="R363" s="50"/>
      <c r="S363" s="51"/>
      <c r="T363" s="50"/>
      <c r="U363" s="50"/>
      <c r="V363" s="73"/>
      <c r="W363" s="50"/>
      <c r="X363" s="50"/>
      <c r="AN363" s="50"/>
      <c r="AO363" s="50"/>
      <c r="AP363" s="50"/>
      <c r="AQ363" s="50"/>
      <c r="AR363" s="50"/>
      <c r="AS363" s="51"/>
      <c r="AT363" s="50"/>
      <c r="AU363" s="50"/>
      <c r="AV363" s="73"/>
      <c r="AW363" s="50"/>
      <c r="AX363" s="50"/>
    </row>
    <row r="364" spans="14:50" x14ac:dyDescent="0.3">
      <c r="N364" s="50"/>
      <c r="O364" s="50"/>
      <c r="P364" s="50"/>
      <c r="Q364" s="50"/>
      <c r="R364" s="50"/>
      <c r="S364" s="51"/>
      <c r="T364" s="50"/>
      <c r="U364" s="50"/>
      <c r="V364" s="73"/>
      <c r="W364" s="50"/>
      <c r="X364" s="50"/>
      <c r="AN364" s="50"/>
      <c r="AO364" s="50"/>
      <c r="AP364" s="50"/>
      <c r="AQ364" s="50"/>
      <c r="AR364" s="50"/>
      <c r="AS364" s="51"/>
      <c r="AT364" s="50"/>
      <c r="AU364" s="50"/>
      <c r="AV364" s="73"/>
      <c r="AW364" s="50"/>
      <c r="AX364" s="50"/>
    </row>
    <row r="365" spans="14:50" x14ac:dyDescent="0.3">
      <c r="N365" s="50"/>
      <c r="O365" s="50"/>
      <c r="P365" s="50"/>
      <c r="Q365" s="50"/>
      <c r="R365" s="50"/>
      <c r="S365" s="51"/>
      <c r="T365" s="50"/>
      <c r="U365" s="50"/>
      <c r="V365" s="73"/>
      <c r="W365" s="50"/>
      <c r="X365" s="50"/>
      <c r="AN365" s="50"/>
      <c r="AO365" s="50"/>
      <c r="AP365" s="50"/>
      <c r="AQ365" s="50"/>
      <c r="AR365" s="50"/>
      <c r="AS365" s="51"/>
      <c r="AT365" s="50"/>
      <c r="AU365" s="50"/>
      <c r="AV365" s="73"/>
      <c r="AW365" s="50"/>
      <c r="AX365" s="50"/>
    </row>
    <row r="366" spans="14:50" x14ac:dyDescent="0.3">
      <c r="N366" s="50"/>
      <c r="O366" s="50"/>
      <c r="P366" s="50"/>
      <c r="Q366" s="50"/>
      <c r="R366" s="50"/>
      <c r="S366" s="51"/>
      <c r="T366" s="50"/>
      <c r="U366" s="50"/>
      <c r="V366" s="73"/>
      <c r="W366" s="50"/>
      <c r="X366" s="50"/>
      <c r="AN366" s="50"/>
      <c r="AO366" s="50"/>
      <c r="AP366" s="50"/>
      <c r="AQ366" s="50"/>
      <c r="AR366" s="50"/>
      <c r="AS366" s="51"/>
      <c r="AT366" s="50"/>
      <c r="AU366" s="50"/>
      <c r="AV366" s="73"/>
      <c r="AW366" s="50"/>
      <c r="AX366" s="50"/>
    </row>
    <row r="367" spans="14:50" x14ac:dyDescent="0.3">
      <c r="N367" s="50"/>
      <c r="O367" s="50"/>
      <c r="P367" s="50"/>
      <c r="Q367" s="50"/>
      <c r="R367" s="50"/>
      <c r="S367" s="51"/>
      <c r="T367" s="50"/>
      <c r="U367" s="50"/>
      <c r="V367" s="73"/>
      <c r="W367" s="50"/>
      <c r="X367" s="50"/>
      <c r="AN367" s="50"/>
      <c r="AO367" s="50"/>
      <c r="AP367" s="50"/>
      <c r="AQ367" s="50"/>
      <c r="AR367" s="50"/>
      <c r="AS367" s="51"/>
      <c r="AT367" s="50"/>
      <c r="AU367" s="50"/>
      <c r="AV367" s="73"/>
      <c r="AW367" s="50"/>
      <c r="AX367" s="50"/>
    </row>
    <row r="368" spans="14:50" x14ac:dyDescent="0.3">
      <c r="N368" s="50"/>
      <c r="O368" s="50"/>
      <c r="P368" s="50"/>
      <c r="Q368" s="50"/>
      <c r="R368" s="50"/>
      <c r="S368" s="51"/>
      <c r="T368" s="50"/>
      <c r="U368" s="50"/>
      <c r="V368" s="73"/>
      <c r="W368" s="50"/>
      <c r="X368" s="50"/>
      <c r="AN368" s="50"/>
      <c r="AO368" s="50"/>
      <c r="AP368" s="50"/>
      <c r="AQ368" s="50"/>
      <c r="AR368" s="50"/>
      <c r="AS368" s="51"/>
      <c r="AT368" s="50"/>
      <c r="AU368" s="50"/>
      <c r="AV368" s="73"/>
      <c r="AW368" s="50"/>
      <c r="AX368" s="50"/>
    </row>
    <row r="369" spans="14:50" x14ac:dyDescent="0.3">
      <c r="N369" s="50"/>
      <c r="O369" s="50"/>
      <c r="P369" s="50"/>
      <c r="Q369" s="50"/>
      <c r="R369" s="50"/>
      <c r="S369" s="51"/>
      <c r="T369" s="50"/>
      <c r="U369" s="50"/>
      <c r="V369" s="73"/>
      <c r="W369" s="50"/>
      <c r="X369" s="50"/>
      <c r="AN369" s="50"/>
      <c r="AO369" s="50"/>
      <c r="AP369" s="50"/>
      <c r="AQ369" s="50"/>
      <c r="AR369" s="50"/>
      <c r="AS369" s="51"/>
      <c r="AT369" s="50"/>
      <c r="AU369" s="50"/>
      <c r="AV369" s="73"/>
      <c r="AW369" s="50"/>
      <c r="AX369" s="50"/>
    </row>
    <row r="370" spans="14:50" x14ac:dyDescent="0.3">
      <c r="N370" s="50"/>
      <c r="O370" s="50"/>
      <c r="P370" s="50"/>
      <c r="Q370" s="50"/>
      <c r="R370" s="50"/>
      <c r="S370" s="51"/>
      <c r="T370" s="50"/>
      <c r="U370" s="50"/>
      <c r="V370" s="73"/>
      <c r="W370" s="50"/>
      <c r="X370" s="50"/>
      <c r="AN370" s="50"/>
      <c r="AO370" s="50"/>
      <c r="AP370" s="50"/>
      <c r="AQ370" s="50"/>
      <c r="AR370" s="50"/>
      <c r="AS370" s="51"/>
      <c r="AT370" s="50"/>
      <c r="AU370" s="50"/>
      <c r="AV370" s="73"/>
      <c r="AW370" s="50"/>
      <c r="AX370" s="50"/>
    </row>
    <row r="371" spans="14:50" x14ac:dyDescent="0.3">
      <c r="N371" s="50"/>
      <c r="O371" s="50"/>
      <c r="P371" s="50"/>
      <c r="Q371" s="50"/>
      <c r="R371" s="50"/>
      <c r="S371" s="51"/>
      <c r="T371" s="50"/>
      <c r="U371" s="50"/>
      <c r="V371" s="73"/>
      <c r="W371" s="50"/>
      <c r="X371" s="50"/>
      <c r="AN371" s="50"/>
      <c r="AO371" s="50"/>
      <c r="AP371" s="50"/>
      <c r="AQ371" s="50"/>
      <c r="AR371" s="50"/>
      <c r="AS371" s="51"/>
      <c r="AT371" s="50"/>
      <c r="AU371" s="50"/>
      <c r="AV371" s="73"/>
      <c r="AW371" s="50"/>
      <c r="AX371" s="50"/>
    </row>
    <row r="372" spans="14:50" x14ac:dyDescent="0.3">
      <c r="N372" s="50"/>
      <c r="O372" s="50"/>
      <c r="P372" s="50"/>
      <c r="Q372" s="50"/>
      <c r="R372" s="50"/>
      <c r="S372" s="51"/>
      <c r="T372" s="50"/>
      <c r="U372" s="50"/>
      <c r="V372" s="73"/>
      <c r="W372" s="50"/>
      <c r="X372" s="50"/>
      <c r="AN372" s="50"/>
      <c r="AO372" s="50"/>
      <c r="AP372" s="50"/>
      <c r="AQ372" s="50"/>
      <c r="AR372" s="50"/>
      <c r="AS372" s="51"/>
      <c r="AT372" s="50"/>
      <c r="AU372" s="50"/>
      <c r="AV372" s="73"/>
      <c r="AW372" s="50"/>
      <c r="AX372" s="50"/>
    </row>
    <row r="373" spans="14:50" x14ac:dyDescent="0.3">
      <c r="N373" s="50"/>
      <c r="O373" s="50"/>
      <c r="P373" s="50"/>
      <c r="Q373" s="50"/>
      <c r="R373" s="50"/>
      <c r="S373" s="51"/>
      <c r="T373" s="50"/>
      <c r="U373" s="50"/>
      <c r="V373" s="73"/>
      <c r="W373" s="50"/>
      <c r="X373" s="50"/>
      <c r="AN373" s="50"/>
      <c r="AO373" s="50"/>
      <c r="AP373" s="50"/>
      <c r="AQ373" s="50"/>
      <c r="AR373" s="50"/>
      <c r="AS373" s="51"/>
      <c r="AT373" s="50"/>
      <c r="AU373" s="50"/>
      <c r="AV373" s="73"/>
      <c r="AW373" s="50"/>
      <c r="AX373" s="50"/>
    </row>
    <row r="374" spans="14:50" x14ac:dyDescent="0.3">
      <c r="N374" s="50"/>
      <c r="O374" s="50"/>
      <c r="P374" s="50"/>
      <c r="Q374" s="50"/>
      <c r="R374" s="50"/>
      <c r="S374" s="51"/>
      <c r="T374" s="50"/>
      <c r="U374" s="50"/>
      <c r="V374" s="73"/>
      <c r="W374" s="50"/>
      <c r="X374" s="50"/>
      <c r="AN374" s="50"/>
      <c r="AO374" s="50"/>
      <c r="AP374" s="50"/>
      <c r="AQ374" s="50"/>
      <c r="AR374" s="50"/>
      <c r="AS374" s="51"/>
      <c r="AT374" s="50"/>
      <c r="AU374" s="50"/>
      <c r="AV374" s="73"/>
      <c r="AW374" s="50"/>
      <c r="AX374" s="50"/>
    </row>
    <row r="375" spans="14:50" x14ac:dyDescent="0.3">
      <c r="N375" s="50"/>
      <c r="O375" s="50"/>
      <c r="P375" s="50"/>
      <c r="Q375" s="50"/>
      <c r="R375" s="50"/>
      <c r="S375" s="51"/>
      <c r="T375" s="50"/>
      <c r="U375" s="50"/>
      <c r="V375" s="73"/>
      <c r="W375" s="50"/>
      <c r="X375" s="50"/>
      <c r="AN375" s="50"/>
      <c r="AO375" s="50"/>
      <c r="AP375" s="50"/>
      <c r="AQ375" s="50"/>
      <c r="AR375" s="50"/>
      <c r="AS375" s="51"/>
      <c r="AT375" s="50"/>
      <c r="AU375" s="50"/>
      <c r="AV375" s="73"/>
      <c r="AW375" s="50"/>
      <c r="AX375" s="50"/>
    </row>
    <row r="376" spans="14:50" x14ac:dyDescent="0.3">
      <c r="N376" s="50"/>
      <c r="O376" s="50"/>
      <c r="P376" s="50"/>
      <c r="Q376" s="50"/>
      <c r="R376" s="50"/>
      <c r="S376" s="51"/>
      <c r="T376" s="50"/>
      <c r="U376" s="50"/>
      <c r="V376" s="73"/>
      <c r="W376" s="50"/>
      <c r="X376" s="50"/>
      <c r="AN376" s="50"/>
      <c r="AO376" s="50"/>
      <c r="AP376" s="50"/>
      <c r="AQ376" s="50"/>
      <c r="AR376" s="50"/>
      <c r="AS376" s="51"/>
      <c r="AT376" s="50"/>
      <c r="AU376" s="50"/>
      <c r="AV376" s="73"/>
      <c r="AW376" s="50"/>
      <c r="AX376" s="50"/>
    </row>
    <row r="377" spans="14:50" x14ac:dyDescent="0.3">
      <c r="N377" s="50"/>
      <c r="O377" s="50"/>
      <c r="P377" s="50"/>
      <c r="Q377" s="50"/>
      <c r="R377" s="50"/>
      <c r="S377" s="51"/>
      <c r="T377" s="50"/>
      <c r="U377" s="50"/>
      <c r="V377" s="73"/>
      <c r="W377" s="50"/>
      <c r="X377" s="50"/>
      <c r="AN377" s="50"/>
      <c r="AO377" s="50"/>
      <c r="AP377" s="50"/>
      <c r="AQ377" s="50"/>
      <c r="AR377" s="50"/>
      <c r="AS377" s="51"/>
      <c r="AT377" s="50"/>
      <c r="AU377" s="50"/>
      <c r="AV377" s="73"/>
      <c r="AW377" s="50"/>
      <c r="AX377" s="50"/>
    </row>
    <row r="378" spans="14:50" x14ac:dyDescent="0.3">
      <c r="N378" s="50"/>
      <c r="O378" s="50"/>
      <c r="P378" s="50"/>
      <c r="Q378" s="50"/>
      <c r="R378" s="50"/>
      <c r="S378" s="51"/>
      <c r="T378" s="50"/>
      <c r="U378" s="50"/>
      <c r="V378" s="73"/>
      <c r="W378" s="50"/>
      <c r="X378" s="50"/>
      <c r="AN378" s="50"/>
      <c r="AO378" s="50"/>
      <c r="AP378" s="50"/>
      <c r="AQ378" s="50"/>
      <c r="AR378" s="50"/>
      <c r="AS378" s="51"/>
      <c r="AT378" s="50"/>
      <c r="AU378" s="50"/>
      <c r="AV378" s="73"/>
      <c r="AW378" s="50"/>
      <c r="AX378" s="50"/>
    </row>
    <row r="379" spans="14:50" x14ac:dyDescent="0.3">
      <c r="N379" s="50"/>
      <c r="O379" s="50"/>
      <c r="P379" s="50"/>
      <c r="Q379" s="50"/>
      <c r="R379" s="50"/>
      <c r="S379" s="51"/>
      <c r="T379" s="50"/>
      <c r="U379" s="50"/>
      <c r="V379" s="73"/>
      <c r="W379" s="50"/>
      <c r="X379" s="50"/>
      <c r="AN379" s="50"/>
      <c r="AO379" s="50"/>
      <c r="AP379" s="50"/>
      <c r="AQ379" s="50"/>
      <c r="AR379" s="50"/>
      <c r="AS379" s="51"/>
      <c r="AT379" s="50"/>
      <c r="AU379" s="50"/>
      <c r="AV379" s="73"/>
      <c r="AW379" s="50"/>
      <c r="AX379" s="50"/>
    </row>
    <row r="380" spans="14:50" x14ac:dyDescent="0.3">
      <c r="N380" s="50"/>
      <c r="O380" s="50"/>
      <c r="P380" s="50"/>
      <c r="Q380" s="50"/>
      <c r="R380" s="50"/>
      <c r="S380" s="51"/>
      <c r="T380" s="50"/>
      <c r="U380" s="50"/>
      <c r="V380" s="73"/>
      <c r="W380" s="50"/>
      <c r="X380" s="50"/>
      <c r="AN380" s="50"/>
      <c r="AO380" s="50"/>
      <c r="AP380" s="50"/>
      <c r="AQ380" s="50"/>
      <c r="AR380" s="50"/>
      <c r="AS380" s="51"/>
      <c r="AT380" s="50"/>
      <c r="AU380" s="50"/>
      <c r="AV380" s="73"/>
      <c r="AW380" s="50"/>
      <c r="AX380" s="50"/>
    </row>
    <row r="381" spans="14:50" x14ac:dyDescent="0.3">
      <c r="N381" s="50"/>
      <c r="O381" s="50"/>
      <c r="P381" s="50"/>
      <c r="Q381" s="50"/>
      <c r="R381" s="50"/>
      <c r="S381" s="51"/>
      <c r="T381" s="50"/>
      <c r="U381" s="50"/>
      <c r="V381" s="73"/>
      <c r="W381" s="50"/>
      <c r="X381" s="50"/>
      <c r="AN381" s="50"/>
      <c r="AO381" s="50"/>
      <c r="AP381" s="50"/>
      <c r="AQ381" s="50"/>
      <c r="AR381" s="50"/>
      <c r="AS381" s="51"/>
      <c r="AT381" s="50"/>
      <c r="AU381" s="50"/>
      <c r="AV381" s="73"/>
      <c r="AW381" s="50"/>
      <c r="AX381" s="50"/>
    </row>
    <row r="382" spans="14:50" x14ac:dyDescent="0.3">
      <c r="N382" s="50"/>
      <c r="O382" s="50"/>
      <c r="P382" s="50"/>
      <c r="Q382" s="50"/>
      <c r="R382" s="50"/>
      <c r="S382" s="51"/>
      <c r="T382" s="50"/>
      <c r="U382" s="50"/>
      <c r="V382" s="73"/>
      <c r="W382" s="50"/>
      <c r="X382" s="50"/>
      <c r="AN382" s="50"/>
      <c r="AO382" s="50"/>
      <c r="AP382" s="50"/>
      <c r="AQ382" s="50"/>
      <c r="AR382" s="50"/>
      <c r="AS382" s="51"/>
      <c r="AT382" s="50"/>
      <c r="AU382" s="50"/>
      <c r="AV382" s="73"/>
      <c r="AW382" s="50"/>
      <c r="AX382" s="50"/>
    </row>
    <row r="383" spans="14:50" x14ac:dyDescent="0.3">
      <c r="N383" s="50"/>
      <c r="O383" s="50"/>
      <c r="P383" s="50"/>
      <c r="Q383" s="50"/>
      <c r="R383" s="50"/>
      <c r="S383" s="51"/>
      <c r="T383" s="50"/>
      <c r="U383" s="50"/>
      <c r="V383" s="73"/>
      <c r="W383" s="50"/>
      <c r="X383" s="50"/>
      <c r="AN383" s="50"/>
      <c r="AO383" s="50"/>
      <c r="AP383" s="50"/>
      <c r="AQ383" s="50"/>
      <c r="AR383" s="50"/>
      <c r="AS383" s="51"/>
      <c r="AT383" s="50"/>
      <c r="AU383" s="50"/>
      <c r="AV383" s="73"/>
      <c r="AW383" s="50"/>
      <c r="AX383" s="50"/>
    </row>
    <row r="384" spans="14:50" x14ac:dyDescent="0.3">
      <c r="N384" s="50"/>
      <c r="O384" s="50"/>
      <c r="P384" s="50"/>
      <c r="Q384" s="50"/>
      <c r="R384" s="50"/>
      <c r="S384" s="51"/>
      <c r="T384" s="50"/>
      <c r="U384" s="50"/>
      <c r="V384" s="73"/>
      <c r="W384" s="50"/>
      <c r="X384" s="50"/>
      <c r="AN384" s="50"/>
      <c r="AO384" s="50"/>
      <c r="AP384" s="50"/>
      <c r="AQ384" s="50"/>
      <c r="AR384" s="50"/>
      <c r="AS384" s="51"/>
      <c r="AT384" s="50"/>
      <c r="AU384" s="50"/>
      <c r="AV384" s="73"/>
      <c r="AW384" s="50"/>
      <c r="AX384" s="50"/>
    </row>
    <row r="385" spans="14:50" x14ac:dyDescent="0.3">
      <c r="N385" s="50"/>
      <c r="O385" s="50"/>
      <c r="P385" s="50"/>
      <c r="Q385" s="50"/>
      <c r="R385" s="50"/>
      <c r="S385" s="51"/>
      <c r="T385" s="50"/>
      <c r="U385" s="50"/>
      <c r="V385" s="73"/>
      <c r="W385" s="50"/>
      <c r="X385" s="50"/>
      <c r="AN385" s="50"/>
      <c r="AO385" s="50"/>
      <c r="AP385" s="50"/>
      <c r="AQ385" s="50"/>
      <c r="AR385" s="50"/>
      <c r="AS385" s="51"/>
      <c r="AT385" s="50"/>
      <c r="AU385" s="50"/>
      <c r="AV385" s="73"/>
      <c r="AW385" s="50"/>
      <c r="AX385" s="50"/>
    </row>
    <row r="386" spans="14:50" x14ac:dyDescent="0.3">
      <c r="N386" s="50"/>
      <c r="O386" s="50"/>
      <c r="P386" s="50"/>
      <c r="Q386" s="50"/>
      <c r="R386" s="50"/>
      <c r="S386" s="51"/>
      <c r="T386" s="50"/>
      <c r="U386" s="50"/>
      <c r="V386" s="73"/>
      <c r="W386" s="50"/>
      <c r="X386" s="50"/>
      <c r="AN386" s="50"/>
      <c r="AO386" s="50"/>
      <c r="AP386" s="50"/>
      <c r="AQ386" s="50"/>
      <c r="AR386" s="50"/>
      <c r="AS386" s="51"/>
      <c r="AT386" s="50"/>
      <c r="AU386" s="50"/>
      <c r="AV386" s="73"/>
      <c r="AW386" s="50"/>
      <c r="AX386" s="50"/>
    </row>
    <row r="387" spans="14:50" x14ac:dyDescent="0.3">
      <c r="N387" s="50"/>
      <c r="O387" s="50"/>
      <c r="P387" s="50"/>
      <c r="Q387" s="50"/>
      <c r="R387" s="50"/>
      <c r="S387" s="51"/>
      <c r="T387" s="50"/>
      <c r="U387" s="50"/>
      <c r="V387" s="73"/>
      <c r="W387" s="50"/>
      <c r="X387" s="50"/>
      <c r="AN387" s="50"/>
      <c r="AO387" s="50"/>
      <c r="AP387" s="50"/>
      <c r="AQ387" s="50"/>
      <c r="AR387" s="50"/>
      <c r="AS387" s="51"/>
      <c r="AT387" s="50"/>
      <c r="AU387" s="50"/>
      <c r="AV387" s="73"/>
      <c r="AW387" s="50"/>
      <c r="AX387" s="50"/>
    </row>
    <row r="388" spans="14:50" x14ac:dyDescent="0.3">
      <c r="N388" s="50"/>
      <c r="O388" s="50"/>
      <c r="P388" s="50"/>
      <c r="Q388" s="50"/>
      <c r="R388" s="50"/>
      <c r="S388" s="51"/>
      <c r="T388" s="50"/>
      <c r="U388" s="50"/>
      <c r="V388" s="73"/>
      <c r="W388" s="50"/>
      <c r="X388" s="50"/>
      <c r="AN388" s="50"/>
      <c r="AO388" s="50"/>
      <c r="AP388" s="50"/>
      <c r="AQ388" s="50"/>
      <c r="AR388" s="50"/>
      <c r="AS388" s="51"/>
      <c r="AT388" s="50"/>
      <c r="AU388" s="50"/>
      <c r="AV388" s="73"/>
      <c r="AW388" s="50"/>
      <c r="AX388" s="50"/>
    </row>
    <row r="389" spans="14:50" x14ac:dyDescent="0.3">
      <c r="N389" s="50"/>
      <c r="O389" s="50"/>
      <c r="P389" s="50"/>
      <c r="Q389" s="50"/>
      <c r="R389" s="50"/>
      <c r="S389" s="51"/>
      <c r="T389" s="50"/>
      <c r="U389" s="50"/>
      <c r="V389" s="73"/>
      <c r="W389" s="50"/>
      <c r="X389" s="50"/>
      <c r="AN389" s="50"/>
      <c r="AO389" s="50"/>
      <c r="AP389" s="50"/>
      <c r="AQ389" s="50"/>
      <c r="AR389" s="50"/>
      <c r="AS389" s="51"/>
      <c r="AT389" s="50"/>
      <c r="AU389" s="50"/>
      <c r="AV389" s="73"/>
      <c r="AW389" s="50"/>
      <c r="AX389" s="50"/>
    </row>
    <row r="390" spans="14:50" x14ac:dyDescent="0.3">
      <c r="N390" s="50"/>
      <c r="O390" s="50"/>
      <c r="P390" s="50"/>
      <c r="Q390" s="50"/>
      <c r="R390" s="50"/>
      <c r="S390" s="51"/>
      <c r="T390" s="50"/>
      <c r="U390" s="50"/>
      <c r="V390" s="73"/>
      <c r="W390" s="50"/>
      <c r="X390" s="50"/>
      <c r="AN390" s="50"/>
      <c r="AO390" s="50"/>
      <c r="AP390" s="50"/>
      <c r="AQ390" s="50"/>
      <c r="AR390" s="50"/>
      <c r="AS390" s="51"/>
      <c r="AT390" s="50"/>
      <c r="AU390" s="50"/>
      <c r="AV390" s="73"/>
      <c r="AW390" s="50"/>
      <c r="AX390" s="50"/>
    </row>
    <row r="391" spans="14:50" x14ac:dyDescent="0.3">
      <c r="N391" s="50"/>
      <c r="O391" s="50"/>
      <c r="P391" s="50"/>
      <c r="Q391" s="50"/>
      <c r="R391" s="50"/>
      <c r="S391" s="51"/>
      <c r="T391" s="50"/>
      <c r="U391" s="50"/>
      <c r="V391" s="73"/>
      <c r="W391" s="50"/>
      <c r="X391" s="50"/>
      <c r="AN391" s="50"/>
      <c r="AO391" s="50"/>
      <c r="AP391" s="50"/>
      <c r="AQ391" s="50"/>
      <c r="AR391" s="50"/>
      <c r="AS391" s="51"/>
      <c r="AT391" s="50"/>
      <c r="AU391" s="50"/>
      <c r="AV391" s="73"/>
      <c r="AW391" s="50"/>
      <c r="AX391" s="50"/>
    </row>
    <row r="392" spans="14:50" x14ac:dyDescent="0.3">
      <c r="N392" s="50"/>
      <c r="O392" s="50"/>
      <c r="P392" s="50"/>
      <c r="Q392" s="50"/>
      <c r="R392" s="50"/>
      <c r="S392" s="51"/>
      <c r="T392" s="50"/>
      <c r="U392" s="50"/>
      <c r="V392" s="73"/>
      <c r="W392" s="50"/>
      <c r="X392" s="50"/>
      <c r="AN392" s="50"/>
      <c r="AO392" s="50"/>
      <c r="AP392" s="50"/>
      <c r="AQ392" s="50"/>
      <c r="AR392" s="50"/>
      <c r="AS392" s="51"/>
      <c r="AT392" s="50"/>
      <c r="AU392" s="50"/>
      <c r="AV392" s="73"/>
      <c r="AW392" s="50"/>
      <c r="AX392" s="50"/>
    </row>
    <row r="393" spans="14:50" x14ac:dyDescent="0.3">
      <c r="N393" s="50"/>
      <c r="O393" s="50"/>
      <c r="P393" s="50"/>
      <c r="Q393" s="50"/>
      <c r="R393" s="50"/>
      <c r="S393" s="51"/>
      <c r="T393" s="50"/>
      <c r="U393" s="50"/>
      <c r="V393" s="73"/>
      <c r="W393" s="50"/>
      <c r="X393" s="50"/>
      <c r="AN393" s="50"/>
      <c r="AO393" s="50"/>
      <c r="AP393" s="50"/>
      <c r="AQ393" s="50"/>
      <c r="AR393" s="50"/>
      <c r="AS393" s="51"/>
      <c r="AT393" s="50"/>
      <c r="AU393" s="50"/>
      <c r="AV393" s="73"/>
      <c r="AW393" s="50"/>
      <c r="AX393" s="50"/>
    </row>
    <row r="394" spans="14:50" x14ac:dyDescent="0.3">
      <c r="N394" s="50"/>
      <c r="O394" s="50"/>
      <c r="P394" s="50"/>
      <c r="Q394" s="50"/>
      <c r="R394" s="50"/>
      <c r="S394" s="51"/>
      <c r="T394" s="50"/>
      <c r="U394" s="50"/>
      <c r="V394" s="73"/>
      <c r="W394" s="50"/>
      <c r="X394" s="50"/>
      <c r="AN394" s="50"/>
      <c r="AO394" s="50"/>
      <c r="AP394" s="50"/>
      <c r="AQ394" s="50"/>
      <c r="AR394" s="50"/>
      <c r="AS394" s="51"/>
      <c r="AT394" s="50"/>
      <c r="AU394" s="50"/>
      <c r="AV394" s="73"/>
      <c r="AW394" s="50"/>
      <c r="AX394" s="50"/>
    </row>
    <row r="395" spans="14:50" x14ac:dyDescent="0.3">
      <c r="N395" s="50"/>
      <c r="O395" s="50"/>
      <c r="P395" s="50"/>
      <c r="Q395" s="50"/>
      <c r="R395" s="50"/>
      <c r="S395" s="51"/>
      <c r="T395" s="50"/>
      <c r="U395" s="50"/>
      <c r="V395" s="73"/>
      <c r="W395" s="50"/>
      <c r="X395" s="50"/>
      <c r="AN395" s="50"/>
      <c r="AO395" s="50"/>
      <c r="AP395" s="50"/>
      <c r="AQ395" s="50"/>
      <c r="AR395" s="50"/>
      <c r="AS395" s="51"/>
      <c r="AT395" s="50"/>
      <c r="AU395" s="50"/>
      <c r="AV395" s="73"/>
      <c r="AW395" s="50"/>
      <c r="AX395" s="50"/>
    </row>
    <row r="396" spans="14:50" x14ac:dyDescent="0.3">
      <c r="N396" s="50"/>
      <c r="O396" s="50"/>
      <c r="P396" s="50"/>
      <c r="Q396" s="50"/>
      <c r="R396" s="50"/>
      <c r="S396" s="51"/>
      <c r="T396" s="50"/>
      <c r="U396" s="50"/>
      <c r="V396" s="73"/>
      <c r="W396" s="50"/>
      <c r="X396" s="50"/>
      <c r="AN396" s="50"/>
      <c r="AO396" s="50"/>
      <c r="AP396" s="50"/>
      <c r="AQ396" s="50"/>
      <c r="AR396" s="50"/>
      <c r="AS396" s="51"/>
      <c r="AT396" s="50"/>
      <c r="AU396" s="50"/>
      <c r="AV396" s="73"/>
      <c r="AW396" s="50"/>
      <c r="AX396" s="50"/>
    </row>
    <row r="397" spans="14:50" x14ac:dyDescent="0.3">
      <c r="N397" s="50"/>
      <c r="O397" s="50"/>
      <c r="P397" s="50"/>
      <c r="Q397" s="50"/>
      <c r="R397" s="50"/>
      <c r="S397" s="51"/>
      <c r="T397" s="50"/>
      <c r="U397" s="50"/>
      <c r="V397" s="73"/>
      <c r="W397" s="50"/>
      <c r="X397" s="50"/>
      <c r="AN397" s="50"/>
      <c r="AO397" s="50"/>
      <c r="AP397" s="50"/>
      <c r="AQ397" s="50"/>
      <c r="AR397" s="50"/>
      <c r="AS397" s="51"/>
      <c r="AT397" s="50"/>
      <c r="AU397" s="50"/>
      <c r="AV397" s="73"/>
      <c r="AW397" s="50"/>
      <c r="AX397" s="50"/>
    </row>
    <row r="398" spans="14:50" x14ac:dyDescent="0.3">
      <c r="N398" s="50"/>
      <c r="O398" s="50"/>
      <c r="P398" s="50"/>
      <c r="Q398" s="50"/>
      <c r="R398" s="50"/>
      <c r="S398" s="51"/>
      <c r="T398" s="50"/>
      <c r="U398" s="50"/>
      <c r="V398" s="73"/>
      <c r="W398" s="50"/>
      <c r="X398" s="50"/>
      <c r="AN398" s="50"/>
      <c r="AO398" s="50"/>
      <c r="AP398" s="50"/>
      <c r="AQ398" s="50"/>
      <c r="AR398" s="50"/>
      <c r="AS398" s="51"/>
      <c r="AT398" s="50"/>
      <c r="AU398" s="50"/>
      <c r="AV398" s="73"/>
      <c r="AW398" s="50"/>
      <c r="AX398" s="50"/>
    </row>
    <row r="399" spans="14:50" x14ac:dyDescent="0.3">
      <c r="N399" s="50"/>
      <c r="O399" s="50"/>
      <c r="P399" s="50"/>
      <c r="Q399" s="50"/>
      <c r="R399" s="50"/>
      <c r="S399" s="51"/>
      <c r="T399" s="50"/>
      <c r="U399" s="50"/>
      <c r="V399" s="73"/>
      <c r="W399" s="50"/>
      <c r="X399" s="50"/>
      <c r="AN399" s="50"/>
      <c r="AO399" s="50"/>
      <c r="AP399" s="50"/>
      <c r="AQ399" s="50"/>
      <c r="AR399" s="50"/>
      <c r="AS399" s="51"/>
      <c r="AT399" s="50"/>
      <c r="AU399" s="50"/>
      <c r="AV399" s="73"/>
      <c r="AW399" s="50"/>
      <c r="AX399" s="50"/>
    </row>
    <row r="400" spans="14:50" x14ac:dyDescent="0.3">
      <c r="N400" s="50"/>
      <c r="O400" s="50"/>
      <c r="P400" s="50"/>
      <c r="Q400" s="50"/>
      <c r="R400" s="50"/>
      <c r="S400" s="51"/>
      <c r="T400" s="50"/>
      <c r="U400" s="50"/>
      <c r="V400" s="73"/>
      <c r="W400" s="50"/>
      <c r="X400" s="50"/>
      <c r="AN400" s="50"/>
      <c r="AO400" s="50"/>
      <c r="AP400" s="50"/>
      <c r="AQ400" s="50"/>
      <c r="AR400" s="50"/>
      <c r="AS400" s="51"/>
      <c r="AT400" s="50"/>
      <c r="AU400" s="50"/>
      <c r="AV400" s="73"/>
      <c r="AW400" s="50"/>
      <c r="AX400" s="50"/>
    </row>
    <row r="401" spans="14:50" x14ac:dyDescent="0.3">
      <c r="N401" s="50"/>
      <c r="O401" s="50"/>
      <c r="P401" s="50"/>
      <c r="Q401" s="50"/>
      <c r="R401" s="50"/>
      <c r="S401" s="51"/>
      <c r="T401" s="50"/>
      <c r="U401" s="50"/>
      <c r="V401" s="73"/>
      <c r="W401" s="50"/>
      <c r="X401" s="50"/>
      <c r="AN401" s="50"/>
      <c r="AO401" s="50"/>
      <c r="AP401" s="50"/>
      <c r="AQ401" s="50"/>
      <c r="AR401" s="50"/>
      <c r="AS401" s="51"/>
      <c r="AT401" s="50"/>
      <c r="AU401" s="50"/>
      <c r="AV401" s="73"/>
      <c r="AW401" s="50"/>
      <c r="AX401" s="50"/>
    </row>
    <row r="402" spans="14:50" x14ac:dyDescent="0.3">
      <c r="N402" s="50"/>
      <c r="O402" s="50"/>
      <c r="P402" s="50"/>
      <c r="Q402" s="50"/>
      <c r="R402" s="50"/>
      <c r="S402" s="51"/>
      <c r="T402" s="50"/>
      <c r="U402" s="50"/>
      <c r="V402" s="73"/>
      <c r="W402" s="50"/>
      <c r="X402" s="50"/>
      <c r="AN402" s="50"/>
      <c r="AO402" s="50"/>
      <c r="AP402" s="50"/>
      <c r="AQ402" s="50"/>
      <c r="AR402" s="50"/>
      <c r="AS402" s="51"/>
      <c r="AT402" s="50"/>
      <c r="AU402" s="50"/>
      <c r="AV402" s="73"/>
      <c r="AW402" s="50"/>
      <c r="AX402" s="50"/>
    </row>
    <row r="403" spans="14:50" x14ac:dyDescent="0.3">
      <c r="N403" s="50"/>
      <c r="O403" s="50"/>
      <c r="P403" s="50"/>
      <c r="Q403" s="50"/>
      <c r="R403" s="50"/>
      <c r="S403" s="51"/>
      <c r="T403" s="50"/>
      <c r="U403" s="50"/>
      <c r="V403" s="73"/>
      <c r="W403" s="50"/>
      <c r="X403" s="50"/>
      <c r="AN403" s="50"/>
      <c r="AO403" s="50"/>
      <c r="AP403" s="50"/>
      <c r="AQ403" s="50"/>
      <c r="AR403" s="50"/>
      <c r="AS403" s="51"/>
      <c r="AT403" s="50"/>
      <c r="AU403" s="50"/>
      <c r="AV403" s="73"/>
      <c r="AW403" s="50"/>
      <c r="AX403" s="50"/>
    </row>
    <row r="404" spans="14:50" x14ac:dyDescent="0.3">
      <c r="N404" s="50"/>
      <c r="O404" s="50"/>
      <c r="P404" s="50"/>
      <c r="Q404" s="50"/>
      <c r="R404" s="50"/>
      <c r="S404" s="51"/>
      <c r="T404" s="50"/>
      <c r="U404" s="50"/>
      <c r="V404" s="73"/>
      <c r="W404" s="50"/>
      <c r="X404" s="50"/>
      <c r="AN404" s="50"/>
      <c r="AO404" s="50"/>
      <c r="AP404" s="50"/>
      <c r="AQ404" s="50"/>
      <c r="AR404" s="50"/>
      <c r="AS404" s="51"/>
      <c r="AT404" s="50"/>
      <c r="AU404" s="50"/>
      <c r="AV404" s="73"/>
      <c r="AW404" s="50"/>
      <c r="AX404" s="50"/>
    </row>
    <row r="405" spans="14:50" x14ac:dyDescent="0.3">
      <c r="N405" s="50"/>
      <c r="O405" s="50"/>
      <c r="P405" s="50"/>
      <c r="Q405" s="50"/>
      <c r="R405" s="50"/>
      <c r="S405" s="51"/>
      <c r="T405" s="50"/>
      <c r="U405" s="50"/>
      <c r="V405" s="73"/>
      <c r="W405" s="50"/>
      <c r="X405" s="50"/>
      <c r="AN405" s="50"/>
      <c r="AO405" s="50"/>
      <c r="AP405" s="50"/>
      <c r="AQ405" s="50"/>
      <c r="AR405" s="50"/>
      <c r="AS405" s="51"/>
      <c r="AT405" s="50"/>
      <c r="AU405" s="50"/>
      <c r="AV405" s="73"/>
      <c r="AW405" s="50"/>
      <c r="AX405" s="50"/>
    </row>
    <row r="406" spans="14:50" x14ac:dyDescent="0.3">
      <c r="N406" s="50"/>
      <c r="O406" s="50"/>
      <c r="P406" s="50"/>
      <c r="Q406" s="50"/>
      <c r="R406" s="50"/>
      <c r="S406" s="51"/>
      <c r="T406" s="50"/>
      <c r="U406" s="50"/>
      <c r="V406" s="73"/>
      <c r="W406" s="50"/>
      <c r="X406" s="50"/>
      <c r="AN406" s="50"/>
      <c r="AO406" s="50"/>
      <c r="AP406" s="50"/>
      <c r="AQ406" s="50"/>
      <c r="AR406" s="50"/>
      <c r="AS406" s="51"/>
      <c r="AT406" s="50"/>
      <c r="AU406" s="50"/>
      <c r="AV406" s="73"/>
      <c r="AW406" s="50"/>
      <c r="AX406" s="50"/>
    </row>
    <row r="407" spans="14:50" x14ac:dyDescent="0.3">
      <c r="N407" s="50"/>
      <c r="O407" s="50"/>
      <c r="P407" s="50"/>
      <c r="Q407" s="50"/>
      <c r="R407" s="50"/>
      <c r="S407" s="51"/>
      <c r="T407" s="50"/>
      <c r="U407" s="50"/>
      <c r="V407" s="73"/>
      <c r="W407" s="50"/>
      <c r="X407" s="50"/>
      <c r="AN407" s="50"/>
      <c r="AO407" s="50"/>
      <c r="AP407" s="50"/>
      <c r="AQ407" s="50"/>
      <c r="AR407" s="50"/>
      <c r="AS407" s="51"/>
      <c r="AT407" s="50"/>
      <c r="AU407" s="50"/>
      <c r="AV407" s="73"/>
      <c r="AW407" s="50"/>
      <c r="AX407" s="50"/>
    </row>
    <row r="408" spans="14:50" x14ac:dyDescent="0.3">
      <c r="N408" s="50"/>
      <c r="O408" s="50"/>
      <c r="P408" s="50"/>
      <c r="Q408" s="50"/>
      <c r="R408" s="50"/>
      <c r="S408" s="51"/>
      <c r="T408" s="50"/>
      <c r="U408" s="50"/>
      <c r="V408" s="73"/>
      <c r="W408" s="50"/>
      <c r="X408" s="50"/>
      <c r="AN408" s="50"/>
      <c r="AO408" s="50"/>
      <c r="AP408" s="50"/>
      <c r="AQ408" s="50"/>
      <c r="AR408" s="50"/>
      <c r="AS408" s="51"/>
      <c r="AT408" s="50"/>
      <c r="AU408" s="50"/>
      <c r="AV408" s="73"/>
      <c r="AW408" s="50"/>
      <c r="AX408" s="50"/>
    </row>
    <row r="409" spans="14:50" x14ac:dyDescent="0.3">
      <c r="N409" s="50"/>
      <c r="O409" s="50"/>
      <c r="P409" s="50"/>
      <c r="Q409" s="50"/>
      <c r="R409" s="50"/>
      <c r="S409" s="51"/>
      <c r="T409" s="50"/>
      <c r="U409" s="50"/>
      <c r="V409" s="73"/>
      <c r="W409" s="50"/>
      <c r="X409" s="50"/>
      <c r="AN409" s="50"/>
      <c r="AO409" s="50"/>
      <c r="AP409" s="50"/>
      <c r="AQ409" s="50"/>
      <c r="AR409" s="50"/>
      <c r="AS409" s="51"/>
      <c r="AT409" s="50"/>
      <c r="AU409" s="50"/>
      <c r="AV409" s="73"/>
      <c r="AW409" s="50"/>
      <c r="AX409" s="50"/>
    </row>
    <row r="410" spans="14:50" x14ac:dyDescent="0.3">
      <c r="N410" s="50"/>
      <c r="O410" s="50"/>
      <c r="P410" s="50"/>
      <c r="Q410" s="50"/>
      <c r="R410" s="50"/>
      <c r="S410" s="51"/>
      <c r="T410" s="50"/>
      <c r="U410" s="50"/>
      <c r="V410" s="73"/>
      <c r="W410" s="50"/>
      <c r="X410" s="50"/>
      <c r="AN410" s="50"/>
      <c r="AO410" s="50"/>
      <c r="AP410" s="50"/>
      <c r="AQ410" s="50"/>
      <c r="AR410" s="50"/>
      <c r="AS410" s="51"/>
      <c r="AT410" s="50"/>
      <c r="AU410" s="50"/>
      <c r="AV410" s="73"/>
      <c r="AW410" s="50"/>
      <c r="AX410" s="50"/>
    </row>
    <row r="411" spans="14:50" x14ac:dyDescent="0.3">
      <c r="N411" s="50"/>
      <c r="O411" s="50"/>
      <c r="P411" s="50"/>
      <c r="Q411" s="50"/>
      <c r="R411" s="50"/>
      <c r="S411" s="51"/>
      <c r="T411" s="50"/>
      <c r="U411" s="50"/>
      <c r="V411" s="73"/>
      <c r="W411" s="50"/>
      <c r="X411" s="50"/>
      <c r="AN411" s="50"/>
      <c r="AO411" s="50"/>
      <c r="AP411" s="50"/>
      <c r="AQ411" s="50"/>
      <c r="AR411" s="50"/>
      <c r="AS411" s="51"/>
      <c r="AT411" s="50"/>
      <c r="AU411" s="50"/>
      <c r="AV411" s="73"/>
      <c r="AW411" s="50"/>
      <c r="AX411" s="50"/>
    </row>
    <row r="412" spans="14:50" x14ac:dyDescent="0.3">
      <c r="N412" s="50"/>
      <c r="O412" s="50"/>
      <c r="P412" s="50"/>
      <c r="Q412" s="50"/>
      <c r="R412" s="50"/>
      <c r="S412" s="51"/>
      <c r="T412" s="50"/>
      <c r="U412" s="50"/>
      <c r="V412" s="73"/>
      <c r="W412" s="50"/>
      <c r="X412" s="50"/>
      <c r="AN412" s="50"/>
      <c r="AO412" s="50"/>
      <c r="AP412" s="50"/>
      <c r="AQ412" s="50"/>
      <c r="AR412" s="50"/>
      <c r="AS412" s="51"/>
      <c r="AT412" s="50"/>
      <c r="AU412" s="50"/>
      <c r="AV412" s="73"/>
      <c r="AW412" s="50"/>
      <c r="AX412" s="50"/>
    </row>
    <row r="413" spans="14:50" x14ac:dyDescent="0.3">
      <c r="N413" s="50"/>
      <c r="O413" s="50"/>
      <c r="P413" s="50"/>
      <c r="Q413" s="50"/>
      <c r="R413" s="50"/>
      <c r="S413" s="51"/>
      <c r="T413" s="50"/>
      <c r="U413" s="50"/>
      <c r="V413" s="73"/>
      <c r="W413" s="50"/>
      <c r="X413" s="50"/>
      <c r="AN413" s="50"/>
      <c r="AO413" s="50"/>
      <c r="AP413" s="50"/>
      <c r="AQ413" s="50"/>
      <c r="AR413" s="50"/>
      <c r="AS413" s="51"/>
      <c r="AT413" s="50"/>
      <c r="AU413" s="50"/>
      <c r="AV413" s="73"/>
      <c r="AW413" s="50"/>
      <c r="AX413" s="50"/>
    </row>
    <row r="414" spans="14:50" x14ac:dyDescent="0.3">
      <c r="N414" s="50"/>
      <c r="O414" s="50"/>
      <c r="P414" s="50"/>
      <c r="Q414" s="50"/>
      <c r="R414" s="50"/>
      <c r="S414" s="51"/>
      <c r="T414" s="50"/>
      <c r="U414" s="50"/>
      <c r="V414" s="73"/>
      <c r="W414" s="50"/>
      <c r="X414" s="50"/>
      <c r="AN414" s="50"/>
      <c r="AO414" s="50"/>
      <c r="AP414" s="50"/>
      <c r="AQ414" s="50"/>
      <c r="AR414" s="50"/>
      <c r="AS414" s="51"/>
      <c r="AT414" s="50"/>
      <c r="AU414" s="50"/>
      <c r="AV414" s="73"/>
      <c r="AW414" s="50"/>
      <c r="AX414" s="50"/>
    </row>
    <row r="415" spans="14:50" x14ac:dyDescent="0.3">
      <c r="N415" s="50"/>
      <c r="O415" s="50"/>
      <c r="P415" s="50"/>
      <c r="Q415" s="50"/>
      <c r="R415" s="50"/>
      <c r="S415" s="51"/>
      <c r="T415" s="50"/>
      <c r="U415" s="50"/>
      <c r="V415" s="73"/>
      <c r="W415" s="50"/>
      <c r="X415" s="50"/>
      <c r="AN415" s="50"/>
      <c r="AO415" s="50"/>
      <c r="AP415" s="50"/>
      <c r="AQ415" s="50"/>
      <c r="AR415" s="50"/>
      <c r="AS415" s="51"/>
      <c r="AT415" s="50"/>
      <c r="AU415" s="50"/>
      <c r="AV415" s="73"/>
      <c r="AW415" s="50"/>
      <c r="AX415" s="50"/>
    </row>
    <row r="416" spans="14:50" x14ac:dyDescent="0.3">
      <c r="N416" s="50"/>
      <c r="O416" s="50"/>
      <c r="P416" s="50"/>
      <c r="Q416" s="50"/>
      <c r="R416" s="50"/>
      <c r="S416" s="51"/>
      <c r="T416" s="50"/>
      <c r="U416" s="50"/>
      <c r="V416" s="73"/>
      <c r="W416" s="50"/>
      <c r="X416" s="50"/>
      <c r="AN416" s="50"/>
      <c r="AO416" s="50"/>
      <c r="AP416" s="50"/>
      <c r="AQ416" s="50"/>
      <c r="AR416" s="50"/>
      <c r="AS416" s="51"/>
      <c r="AT416" s="50"/>
      <c r="AU416" s="50"/>
      <c r="AV416" s="73"/>
      <c r="AW416" s="50"/>
      <c r="AX416" s="50"/>
    </row>
    <row r="417" spans="14:50" x14ac:dyDescent="0.3">
      <c r="N417" s="50"/>
      <c r="O417" s="50"/>
      <c r="P417" s="50"/>
      <c r="Q417" s="50"/>
      <c r="R417" s="50"/>
      <c r="S417" s="51"/>
      <c r="T417" s="50"/>
      <c r="U417" s="50"/>
      <c r="V417" s="73"/>
      <c r="W417" s="50"/>
      <c r="X417" s="50"/>
      <c r="AN417" s="50"/>
      <c r="AO417" s="50"/>
      <c r="AP417" s="50"/>
      <c r="AQ417" s="50"/>
      <c r="AR417" s="50"/>
      <c r="AS417" s="51"/>
      <c r="AT417" s="50"/>
      <c r="AU417" s="50"/>
      <c r="AV417" s="73"/>
      <c r="AW417" s="50"/>
      <c r="AX417" s="50"/>
    </row>
    <row r="418" spans="14:50" x14ac:dyDescent="0.3">
      <c r="N418" s="50"/>
      <c r="O418" s="50"/>
      <c r="P418" s="50"/>
      <c r="Q418" s="50"/>
      <c r="R418" s="50"/>
      <c r="S418" s="51"/>
      <c r="T418" s="50"/>
      <c r="U418" s="50"/>
      <c r="V418" s="73"/>
      <c r="W418" s="50"/>
      <c r="X418" s="50"/>
      <c r="AN418" s="50"/>
      <c r="AO418" s="50"/>
      <c r="AP418" s="50"/>
      <c r="AQ418" s="50"/>
      <c r="AR418" s="50"/>
      <c r="AS418" s="51"/>
      <c r="AT418" s="50"/>
      <c r="AU418" s="50"/>
      <c r="AV418" s="73"/>
      <c r="AW418" s="50"/>
      <c r="AX418" s="50"/>
    </row>
    <row r="419" spans="14:50" x14ac:dyDescent="0.3">
      <c r="N419" s="50"/>
      <c r="O419" s="50"/>
      <c r="P419" s="50"/>
      <c r="Q419" s="50"/>
      <c r="R419" s="50"/>
      <c r="S419" s="51"/>
      <c r="T419" s="50"/>
      <c r="U419" s="50"/>
      <c r="V419" s="73"/>
      <c r="W419" s="50"/>
      <c r="X419" s="50"/>
      <c r="AN419" s="50"/>
      <c r="AO419" s="50"/>
      <c r="AP419" s="50"/>
      <c r="AQ419" s="50"/>
      <c r="AR419" s="50"/>
      <c r="AS419" s="51"/>
      <c r="AT419" s="50"/>
      <c r="AU419" s="50"/>
      <c r="AV419" s="73"/>
      <c r="AW419" s="50"/>
      <c r="AX419" s="50"/>
    </row>
    <row r="420" spans="14:50" x14ac:dyDescent="0.3">
      <c r="N420" s="50"/>
      <c r="O420" s="50"/>
      <c r="P420" s="50"/>
      <c r="Q420" s="50"/>
      <c r="R420" s="50"/>
      <c r="S420" s="51"/>
      <c r="T420" s="50"/>
      <c r="U420" s="50"/>
      <c r="V420" s="73"/>
      <c r="W420" s="50"/>
      <c r="X420" s="50"/>
      <c r="AN420" s="50"/>
      <c r="AO420" s="50"/>
      <c r="AP420" s="50"/>
      <c r="AQ420" s="50"/>
      <c r="AR420" s="50"/>
      <c r="AS420" s="51"/>
      <c r="AT420" s="50"/>
      <c r="AU420" s="50"/>
      <c r="AV420" s="73"/>
      <c r="AW420" s="50"/>
      <c r="AX420" s="50"/>
    </row>
    <row r="421" spans="14:50" x14ac:dyDescent="0.3">
      <c r="N421" s="50"/>
      <c r="O421" s="50"/>
      <c r="P421" s="50"/>
      <c r="Q421" s="50"/>
      <c r="R421" s="50"/>
      <c r="S421" s="51"/>
      <c r="T421" s="50"/>
      <c r="U421" s="50"/>
      <c r="V421" s="73"/>
      <c r="W421" s="50"/>
      <c r="X421" s="50"/>
      <c r="AN421" s="50"/>
      <c r="AO421" s="50"/>
      <c r="AP421" s="50"/>
      <c r="AQ421" s="50"/>
      <c r="AR421" s="50"/>
      <c r="AS421" s="51"/>
      <c r="AT421" s="50"/>
      <c r="AU421" s="50"/>
      <c r="AV421" s="73"/>
      <c r="AW421" s="50"/>
      <c r="AX421" s="50"/>
    </row>
    <row r="422" spans="14:50" x14ac:dyDescent="0.3">
      <c r="N422" s="50"/>
      <c r="O422" s="50"/>
      <c r="P422" s="50"/>
      <c r="Q422" s="50"/>
      <c r="R422" s="50"/>
      <c r="S422" s="51"/>
      <c r="T422" s="50"/>
      <c r="U422" s="50"/>
      <c r="V422" s="73"/>
      <c r="W422" s="50"/>
      <c r="X422" s="50"/>
      <c r="AN422" s="50"/>
      <c r="AO422" s="50"/>
      <c r="AP422" s="50"/>
      <c r="AQ422" s="50"/>
      <c r="AR422" s="50"/>
      <c r="AS422" s="51"/>
      <c r="AT422" s="50"/>
      <c r="AU422" s="50"/>
      <c r="AV422" s="73"/>
      <c r="AW422" s="50"/>
      <c r="AX422" s="50"/>
    </row>
    <row r="423" spans="14:50" x14ac:dyDescent="0.3">
      <c r="N423" s="50"/>
      <c r="O423" s="50"/>
      <c r="P423" s="50"/>
      <c r="Q423" s="50"/>
      <c r="R423" s="50"/>
      <c r="S423" s="51"/>
      <c r="T423" s="50"/>
      <c r="U423" s="50"/>
      <c r="V423" s="73"/>
      <c r="W423" s="50"/>
      <c r="X423" s="50"/>
      <c r="AN423" s="50"/>
      <c r="AO423" s="50"/>
      <c r="AP423" s="50"/>
      <c r="AQ423" s="50"/>
      <c r="AR423" s="50"/>
      <c r="AS423" s="51"/>
      <c r="AT423" s="50"/>
      <c r="AU423" s="50"/>
      <c r="AV423" s="73"/>
      <c r="AW423" s="50"/>
      <c r="AX423" s="50"/>
    </row>
    <row r="424" spans="14:50" x14ac:dyDescent="0.3">
      <c r="N424" s="50"/>
      <c r="O424" s="50"/>
      <c r="P424" s="50"/>
      <c r="Q424" s="50"/>
      <c r="R424" s="50"/>
      <c r="S424" s="51"/>
      <c r="T424" s="50"/>
      <c r="U424" s="50"/>
      <c r="V424" s="73"/>
      <c r="W424" s="50"/>
      <c r="X424" s="50"/>
      <c r="AN424" s="50"/>
      <c r="AO424" s="50"/>
      <c r="AP424" s="50"/>
      <c r="AQ424" s="50"/>
      <c r="AR424" s="50"/>
      <c r="AS424" s="51"/>
      <c r="AT424" s="50"/>
      <c r="AU424" s="50"/>
      <c r="AV424" s="73"/>
      <c r="AW424" s="50"/>
      <c r="AX424" s="50"/>
    </row>
    <row r="425" spans="14:50" x14ac:dyDescent="0.3">
      <c r="N425" s="50"/>
      <c r="O425" s="50"/>
      <c r="P425" s="50"/>
      <c r="Q425" s="50"/>
      <c r="R425" s="50"/>
      <c r="S425" s="51"/>
      <c r="T425" s="50"/>
      <c r="U425" s="50"/>
      <c r="V425" s="73"/>
      <c r="W425" s="50"/>
      <c r="X425" s="50"/>
      <c r="AN425" s="50"/>
      <c r="AO425" s="50"/>
      <c r="AP425" s="50"/>
      <c r="AQ425" s="50"/>
      <c r="AR425" s="50"/>
      <c r="AS425" s="51"/>
      <c r="AT425" s="50"/>
      <c r="AU425" s="50"/>
      <c r="AV425" s="73"/>
      <c r="AW425" s="50"/>
      <c r="AX425" s="50"/>
    </row>
    <row r="426" spans="14:50" x14ac:dyDescent="0.3">
      <c r="N426" s="50"/>
      <c r="O426" s="50"/>
      <c r="P426" s="50"/>
      <c r="Q426" s="50"/>
      <c r="R426" s="50"/>
      <c r="S426" s="51"/>
      <c r="T426" s="50"/>
      <c r="U426" s="50"/>
      <c r="V426" s="73"/>
      <c r="W426" s="50"/>
      <c r="X426" s="50"/>
      <c r="AN426" s="50"/>
      <c r="AO426" s="50"/>
      <c r="AP426" s="50"/>
      <c r="AQ426" s="50"/>
      <c r="AR426" s="50"/>
      <c r="AS426" s="51"/>
      <c r="AT426" s="50"/>
      <c r="AU426" s="50"/>
      <c r="AV426" s="73"/>
      <c r="AW426" s="50"/>
      <c r="AX426" s="50"/>
    </row>
    <row r="427" spans="14:50" x14ac:dyDescent="0.3">
      <c r="N427" s="50"/>
      <c r="O427" s="50"/>
      <c r="P427" s="50"/>
      <c r="Q427" s="50"/>
      <c r="R427" s="50"/>
      <c r="S427" s="51"/>
      <c r="T427" s="50"/>
      <c r="U427" s="50"/>
      <c r="V427" s="73"/>
      <c r="W427" s="50"/>
      <c r="X427" s="50"/>
      <c r="AN427" s="50"/>
      <c r="AO427" s="50"/>
      <c r="AP427" s="50"/>
      <c r="AQ427" s="50"/>
      <c r="AR427" s="50"/>
      <c r="AS427" s="51"/>
      <c r="AT427" s="50"/>
      <c r="AU427" s="50"/>
      <c r="AV427" s="73"/>
      <c r="AW427" s="50"/>
      <c r="AX427" s="50"/>
    </row>
    <row r="428" spans="14:50" x14ac:dyDescent="0.3">
      <c r="N428" s="50"/>
      <c r="O428" s="50"/>
      <c r="P428" s="50"/>
      <c r="Q428" s="50"/>
      <c r="R428" s="50"/>
      <c r="S428" s="51"/>
      <c r="T428" s="50"/>
      <c r="U428" s="50"/>
      <c r="V428" s="73"/>
      <c r="W428" s="50"/>
      <c r="X428" s="50"/>
      <c r="AN428" s="50"/>
      <c r="AO428" s="50"/>
      <c r="AP428" s="50"/>
      <c r="AQ428" s="50"/>
      <c r="AR428" s="50"/>
      <c r="AS428" s="51"/>
      <c r="AT428" s="50"/>
      <c r="AU428" s="50"/>
      <c r="AV428" s="73"/>
      <c r="AW428" s="50"/>
      <c r="AX428" s="50"/>
    </row>
    <row r="429" spans="14:50" x14ac:dyDescent="0.3">
      <c r="N429" s="50"/>
      <c r="O429" s="50"/>
      <c r="P429" s="50"/>
      <c r="Q429" s="50"/>
      <c r="R429" s="50"/>
      <c r="S429" s="51"/>
      <c r="T429" s="50"/>
      <c r="U429" s="50"/>
      <c r="V429" s="73"/>
      <c r="W429" s="50"/>
      <c r="X429" s="50"/>
      <c r="AN429" s="50"/>
      <c r="AO429" s="50"/>
      <c r="AP429" s="50"/>
      <c r="AQ429" s="50"/>
      <c r="AR429" s="50"/>
      <c r="AS429" s="51"/>
      <c r="AT429" s="50"/>
      <c r="AU429" s="50"/>
      <c r="AV429" s="73"/>
      <c r="AW429" s="50"/>
      <c r="AX429" s="50"/>
    </row>
    <row r="430" spans="14:50" x14ac:dyDescent="0.3">
      <c r="N430" s="50"/>
      <c r="O430" s="50"/>
      <c r="P430" s="50"/>
      <c r="Q430" s="50"/>
      <c r="R430" s="50"/>
      <c r="S430" s="51"/>
      <c r="T430" s="50"/>
      <c r="U430" s="50"/>
      <c r="V430" s="73"/>
      <c r="W430" s="50"/>
      <c r="X430" s="50"/>
      <c r="AN430" s="50"/>
      <c r="AO430" s="50"/>
      <c r="AP430" s="50"/>
      <c r="AQ430" s="50"/>
      <c r="AR430" s="50"/>
      <c r="AS430" s="51"/>
      <c r="AT430" s="50"/>
      <c r="AU430" s="50"/>
      <c r="AV430" s="73"/>
      <c r="AW430" s="50"/>
      <c r="AX430" s="50"/>
    </row>
    <row r="431" spans="14:50" x14ac:dyDescent="0.3">
      <c r="N431" s="50"/>
      <c r="O431" s="50"/>
      <c r="P431" s="50"/>
      <c r="Q431" s="50"/>
      <c r="R431" s="50"/>
      <c r="S431" s="51"/>
      <c r="T431" s="50"/>
      <c r="U431" s="50"/>
      <c r="V431" s="73"/>
      <c r="W431" s="50"/>
      <c r="X431" s="50"/>
      <c r="AN431" s="50"/>
      <c r="AO431" s="50"/>
      <c r="AP431" s="50"/>
      <c r="AQ431" s="50"/>
      <c r="AR431" s="50"/>
      <c r="AS431" s="51"/>
      <c r="AT431" s="50"/>
      <c r="AU431" s="50"/>
      <c r="AV431" s="73"/>
      <c r="AW431" s="50"/>
      <c r="AX431" s="50"/>
    </row>
    <row r="432" spans="14:50" x14ac:dyDescent="0.3">
      <c r="N432" s="50"/>
      <c r="O432" s="50"/>
      <c r="P432" s="50"/>
      <c r="Q432" s="50"/>
      <c r="R432" s="50"/>
      <c r="S432" s="51"/>
      <c r="T432" s="50"/>
      <c r="U432" s="50"/>
      <c r="V432" s="73"/>
      <c r="W432" s="50"/>
      <c r="X432" s="50"/>
      <c r="AN432" s="50"/>
      <c r="AO432" s="50"/>
      <c r="AP432" s="50"/>
      <c r="AQ432" s="50"/>
      <c r="AR432" s="50"/>
      <c r="AS432" s="51"/>
      <c r="AT432" s="50"/>
      <c r="AU432" s="50"/>
      <c r="AV432" s="73"/>
      <c r="AW432" s="50"/>
      <c r="AX432" s="50"/>
    </row>
    <row r="433" spans="14:50" x14ac:dyDescent="0.3">
      <c r="N433" s="50"/>
      <c r="O433" s="50"/>
      <c r="P433" s="50"/>
      <c r="Q433" s="50"/>
      <c r="R433" s="50"/>
      <c r="S433" s="51"/>
      <c r="T433" s="50"/>
      <c r="U433" s="50"/>
      <c r="V433" s="73"/>
      <c r="W433" s="50"/>
      <c r="X433" s="50"/>
      <c r="AN433" s="50"/>
      <c r="AO433" s="50"/>
      <c r="AP433" s="50"/>
      <c r="AQ433" s="50"/>
      <c r="AR433" s="50"/>
      <c r="AS433" s="51"/>
      <c r="AT433" s="50"/>
      <c r="AU433" s="50"/>
      <c r="AV433" s="73"/>
      <c r="AW433" s="50"/>
      <c r="AX433" s="50"/>
    </row>
    <row r="434" spans="14:50" x14ac:dyDescent="0.3">
      <c r="N434" s="50"/>
      <c r="O434" s="50"/>
      <c r="P434" s="50"/>
      <c r="Q434" s="50"/>
      <c r="R434" s="50"/>
      <c r="S434" s="51"/>
      <c r="T434" s="50"/>
      <c r="U434" s="50"/>
      <c r="V434" s="73"/>
      <c r="W434" s="50"/>
      <c r="X434" s="50"/>
      <c r="AN434" s="50"/>
      <c r="AO434" s="50"/>
      <c r="AP434" s="50"/>
      <c r="AQ434" s="50"/>
      <c r="AR434" s="50"/>
      <c r="AS434" s="51"/>
      <c r="AT434" s="50"/>
      <c r="AU434" s="50"/>
      <c r="AV434" s="73"/>
      <c r="AW434" s="50"/>
      <c r="AX434" s="50"/>
    </row>
    <row r="435" spans="14:50" x14ac:dyDescent="0.3">
      <c r="N435" s="50"/>
      <c r="O435" s="50"/>
      <c r="P435" s="50"/>
      <c r="Q435" s="50"/>
      <c r="R435" s="50"/>
      <c r="S435" s="51"/>
      <c r="T435" s="50"/>
      <c r="U435" s="50"/>
      <c r="V435" s="73"/>
      <c r="W435" s="50"/>
      <c r="X435" s="50"/>
      <c r="AN435" s="50"/>
      <c r="AO435" s="50"/>
      <c r="AP435" s="50"/>
      <c r="AQ435" s="50"/>
      <c r="AR435" s="50"/>
      <c r="AS435" s="51"/>
      <c r="AT435" s="50"/>
      <c r="AU435" s="50"/>
      <c r="AV435" s="73"/>
      <c r="AW435" s="50"/>
      <c r="AX435" s="50"/>
    </row>
    <row r="436" spans="14:50" x14ac:dyDescent="0.3">
      <c r="N436" s="50"/>
      <c r="O436" s="50"/>
      <c r="P436" s="50"/>
      <c r="Q436" s="50"/>
      <c r="R436" s="50"/>
      <c r="S436" s="51"/>
      <c r="T436" s="50"/>
      <c r="U436" s="50"/>
      <c r="V436" s="73"/>
      <c r="W436" s="50"/>
      <c r="X436" s="50"/>
      <c r="AN436" s="50"/>
      <c r="AO436" s="50"/>
      <c r="AP436" s="50"/>
      <c r="AQ436" s="50"/>
      <c r="AR436" s="50"/>
      <c r="AS436" s="51"/>
      <c r="AT436" s="50"/>
      <c r="AU436" s="50"/>
      <c r="AV436" s="73"/>
      <c r="AW436" s="50"/>
      <c r="AX436" s="50"/>
    </row>
    <row r="437" spans="14:50" x14ac:dyDescent="0.3">
      <c r="N437" s="50"/>
      <c r="O437" s="50"/>
      <c r="P437" s="50"/>
      <c r="Q437" s="50"/>
      <c r="R437" s="50"/>
      <c r="S437" s="51"/>
      <c r="T437" s="50"/>
      <c r="U437" s="50"/>
      <c r="V437" s="73"/>
      <c r="W437" s="50"/>
      <c r="X437" s="50"/>
      <c r="AN437" s="50"/>
      <c r="AO437" s="50"/>
      <c r="AP437" s="50"/>
      <c r="AQ437" s="50"/>
      <c r="AR437" s="50"/>
      <c r="AS437" s="51"/>
      <c r="AT437" s="50"/>
      <c r="AU437" s="50"/>
      <c r="AV437" s="73"/>
      <c r="AW437" s="50"/>
      <c r="AX437" s="50"/>
    </row>
    <row r="438" spans="14:50" x14ac:dyDescent="0.3">
      <c r="N438" s="50"/>
      <c r="O438" s="50"/>
      <c r="P438" s="50"/>
      <c r="Q438" s="50"/>
      <c r="R438" s="50"/>
      <c r="S438" s="51"/>
      <c r="T438" s="50"/>
      <c r="U438" s="50"/>
      <c r="V438" s="73"/>
      <c r="W438" s="50"/>
      <c r="X438" s="50"/>
      <c r="AN438" s="50"/>
      <c r="AO438" s="50"/>
      <c r="AP438" s="50"/>
      <c r="AQ438" s="50"/>
      <c r="AR438" s="50"/>
      <c r="AS438" s="51"/>
      <c r="AT438" s="50"/>
      <c r="AU438" s="50"/>
      <c r="AV438" s="73"/>
      <c r="AW438" s="50"/>
      <c r="AX438" s="50"/>
    </row>
    <row r="439" spans="14:50" x14ac:dyDescent="0.3">
      <c r="N439" s="50"/>
      <c r="O439" s="50"/>
      <c r="P439" s="50"/>
      <c r="Q439" s="50"/>
      <c r="R439" s="50"/>
      <c r="S439" s="51"/>
      <c r="T439" s="50"/>
      <c r="U439" s="50"/>
      <c r="V439" s="73"/>
      <c r="W439" s="50"/>
      <c r="X439" s="50"/>
      <c r="AN439" s="50"/>
      <c r="AO439" s="50"/>
      <c r="AP439" s="50"/>
      <c r="AQ439" s="50"/>
      <c r="AR439" s="50"/>
      <c r="AS439" s="51"/>
      <c r="AT439" s="50"/>
      <c r="AU439" s="50"/>
      <c r="AV439" s="73"/>
      <c r="AW439" s="50"/>
      <c r="AX439" s="50"/>
    </row>
    <row r="440" spans="14:50" x14ac:dyDescent="0.3">
      <c r="N440" s="50"/>
      <c r="O440" s="50"/>
      <c r="P440" s="50"/>
      <c r="Q440" s="50"/>
      <c r="R440" s="50"/>
      <c r="S440" s="51"/>
      <c r="T440" s="50"/>
      <c r="U440" s="50"/>
      <c r="V440" s="73"/>
      <c r="W440" s="50"/>
      <c r="X440" s="50"/>
      <c r="AN440" s="50"/>
      <c r="AO440" s="50"/>
      <c r="AP440" s="50"/>
      <c r="AQ440" s="50"/>
      <c r="AR440" s="50"/>
      <c r="AS440" s="51"/>
      <c r="AT440" s="50"/>
      <c r="AU440" s="50"/>
      <c r="AV440" s="73"/>
      <c r="AW440" s="50"/>
      <c r="AX440" s="50"/>
    </row>
    <row r="441" spans="14:50" x14ac:dyDescent="0.3">
      <c r="N441" s="50"/>
      <c r="O441" s="50"/>
      <c r="P441" s="50"/>
      <c r="Q441" s="50"/>
      <c r="R441" s="50"/>
      <c r="S441" s="51"/>
      <c r="T441" s="50"/>
      <c r="U441" s="50"/>
      <c r="V441" s="73"/>
      <c r="W441" s="50"/>
      <c r="X441" s="50"/>
      <c r="AN441" s="50"/>
      <c r="AO441" s="50"/>
      <c r="AP441" s="50"/>
      <c r="AQ441" s="50"/>
      <c r="AR441" s="50"/>
      <c r="AS441" s="51"/>
      <c r="AT441" s="50"/>
      <c r="AU441" s="50"/>
      <c r="AV441" s="73"/>
      <c r="AW441" s="50"/>
      <c r="AX441" s="50"/>
    </row>
    <row r="442" spans="14:50" x14ac:dyDescent="0.3">
      <c r="N442" s="50"/>
      <c r="O442" s="50"/>
      <c r="P442" s="50"/>
      <c r="Q442" s="50"/>
      <c r="R442" s="50"/>
      <c r="S442" s="51"/>
      <c r="T442" s="50"/>
      <c r="U442" s="50"/>
      <c r="V442" s="73"/>
      <c r="W442" s="50"/>
      <c r="X442" s="50"/>
      <c r="AN442" s="50"/>
      <c r="AO442" s="50"/>
      <c r="AP442" s="50"/>
      <c r="AQ442" s="50"/>
      <c r="AR442" s="50"/>
      <c r="AS442" s="51"/>
      <c r="AT442" s="50"/>
      <c r="AU442" s="50"/>
      <c r="AV442" s="73"/>
      <c r="AW442" s="50"/>
      <c r="AX442" s="50"/>
    </row>
    <row r="443" spans="14:50" x14ac:dyDescent="0.3">
      <c r="N443" s="50"/>
      <c r="O443" s="50"/>
      <c r="P443" s="50"/>
      <c r="Q443" s="50"/>
      <c r="R443" s="50"/>
      <c r="S443" s="51"/>
      <c r="T443" s="50"/>
      <c r="U443" s="50"/>
      <c r="V443" s="73"/>
      <c r="W443" s="50"/>
      <c r="X443" s="50"/>
      <c r="AN443" s="50"/>
      <c r="AO443" s="50"/>
      <c r="AP443" s="50"/>
      <c r="AQ443" s="50"/>
      <c r="AR443" s="50"/>
      <c r="AS443" s="51"/>
      <c r="AT443" s="50"/>
      <c r="AU443" s="50"/>
      <c r="AV443" s="73"/>
      <c r="AW443" s="50"/>
      <c r="AX443" s="50"/>
    </row>
    <row r="444" spans="14:50" x14ac:dyDescent="0.3">
      <c r="N444" s="50"/>
      <c r="O444" s="50"/>
      <c r="P444" s="50"/>
      <c r="Q444" s="50"/>
      <c r="R444" s="50"/>
      <c r="S444" s="51"/>
      <c r="T444" s="50"/>
      <c r="U444" s="50"/>
      <c r="V444" s="73"/>
      <c r="W444" s="50"/>
      <c r="X444" s="50"/>
      <c r="AN444" s="50"/>
      <c r="AO444" s="50"/>
      <c r="AP444" s="50"/>
      <c r="AQ444" s="50"/>
      <c r="AR444" s="50"/>
      <c r="AS444" s="51"/>
      <c r="AT444" s="50"/>
      <c r="AU444" s="50"/>
      <c r="AV444" s="73"/>
      <c r="AW444" s="50"/>
      <c r="AX444" s="50"/>
    </row>
    <row r="445" spans="14:50" x14ac:dyDescent="0.3">
      <c r="N445" s="50"/>
      <c r="O445" s="50"/>
      <c r="P445" s="50"/>
      <c r="Q445" s="50"/>
      <c r="R445" s="50"/>
      <c r="S445" s="51"/>
      <c r="T445" s="50"/>
      <c r="U445" s="50"/>
      <c r="V445" s="73"/>
      <c r="W445" s="50"/>
      <c r="X445" s="50"/>
      <c r="AN445" s="50"/>
      <c r="AO445" s="50"/>
      <c r="AP445" s="50"/>
      <c r="AQ445" s="50"/>
      <c r="AR445" s="50"/>
      <c r="AS445" s="51"/>
      <c r="AT445" s="50"/>
      <c r="AU445" s="50"/>
      <c r="AV445" s="73"/>
      <c r="AW445" s="50"/>
      <c r="AX445" s="50"/>
    </row>
    <row r="446" spans="14:50" x14ac:dyDescent="0.3">
      <c r="N446" s="50"/>
      <c r="O446" s="50"/>
      <c r="P446" s="50"/>
      <c r="Q446" s="50"/>
      <c r="R446" s="50"/>
      <c r="S446" s="51"/>
      <c r="T446" s="50"/>
      <c r="U446" s="50"/>
      <c r="V446" s="73"/>
      <c r="W446" s="50"/>
      <c r="X446" s="50"/>
      <c r="AN446" s="50"/>
      <c r="AO446" s="50"/>
      <c r="AP446" s="50"/>
      <c r="AQ446" s="50"/>
      <c r="AR446" s="50"/>
      <c r="AS446" s="51"/>
      <c r="AT446" s="50"/>
      <c r="AU446" s="50"/>
      <c r="AV446" s="73"/>
      <c r="AW446" s="50"/>
      <c r="AX446" s="50"/>
    </row>
    <row r="447" spans="14:50" x14ac:dyDescent="0.3">
      <c r="N447" s="50"/>
      <c r="O447" s="50"/>
      <c r="P447" s="50"/>
      <c r="Q447" s="50"/>
      <c r="R447" s="50"/>
      <c r="S447" s="51"/>
      <c r="T447" s="50"/>
      <c r="U447" s="50"/>
      <c r="V447" s="73"/>
      <c r="W447" s="50"/>
      <c r="X447" s="50"/>
      <c r="AN447" s="50"/>
      <c r="AO447" s="50"/>
      <c r="AP447" s="50"/>
      <c r="AQ447" s="50"/>
      <c r="AR447" s="50"/>
      <c r="AS447" s="51"/>
      <c r="AT447" s="50"/>
      <c r="AU447" s="50"/>
      <c r="AV447" s="73"/>
      <c r="AW447" s="50"/>
      <c r="AX447" s="50"/>
    </row>
    <row r="448" spans="14:50" x14ac:dyDescent="0.3">
      <c r="N448" s="50"/>
      <c r="O448" s="50"/>
      <c r="P448" s="50"/>
      <c r="Q448" s="50"/>
      <c r="R448" s="50"/>
      <c r="S448" s="51"/>
      <c r="T448" s="50"/>
      <c r="U448" s="50"/>
      <c r="V448" s="73"/>
      <c r="W448" s="50"/>
      <c r="X448" s="50"/>
      <c r="AN448" s="50"/>
      <c r="AO448" s="50"/>
      <c r="AP448" s="50"/>
      <c r="AQ448" s="50"/>
      <c r="AR448" s="50"/>
      <c r="AS448" s="51"/>
      <c r="AT448" s="50"/>
      <c r="AU448" s="50"/>
      <c r="AV448" s="73"/>
      <c r="AW448" s="50"/>
      <c r="AX448" s="50"/>
    </row>
    <row r="449" spans="14:50" x14ac:dyDescent="0.3">
      <c r="N449" s="50"/>
      <c r="O449" s="50"/>
      <c r="P449" s="50"/>
      <c r="Q449" s="50"/>
      <c r="R449" s="50"/>
      <c r="S449" s="51"/>
      <c r="T449" s="50"/>
      <c r="U449" s="50"/>
      <c r="V449" s="73"/>
      <c r="W449" s="50"/>
      <c r="X449" s="50"/>
      <c r="AN449" s="50"/>
      <c r="AO449" s="50"/>
      <c r="AP449" s="50"/>
      <c r="AQ449" s="50"/>
      <c r="AR449" s="50"/>
      <c r="AS449" s="51"/>
      <c r="AT449" s="50"/>
      <c r="AU449" s="50"/>
      <c r="AV449" s="73"/>
      <c r="AW449" s="50"/>
      <c r="AX449" s="50"/>
    </row>
    <row r="450" spans="14:50" x14ac:dyDescent="0.3">
      <c r="N450" s="50"/>
      <c r="O450" s="50"/>
      <c r="P450" s="50"/>
      <c r="Q450" s="50"/>
      <c r="R450" s="50"/>
      <c r="S450" s="51"/>
      <c r="T450" s="50"/>
      <c r="U450" s="50"/>
      <c r="V450" s="73"/>
      <c r="W450" s="50"/>
      <c r="X450" s="50"/>
      <c r="AN450" s="50"/>
      <c r="AO450" s="50"/>
      <c r="AP450" s="50"/>
      <c r="AQ450" s="50"/>
      <c r="AR450" s="50"/>
      <c r="AS450" s="51"/>
      <c r="AT450" s="50"/>
      <c r="AU450" s="50"/>
      <c r="AV450" s="73"/>
      <c r="AW450" s="50"/>
      <c r="AX450" s="50"/>
    </row>
    <row r="451" spans="14:50" x14ac:dyDescent="0.3">
      <c r="N451" s="50"/>
      <c r="O451" s="50"/>
      <c r="P451" s="50"/>
      <c r="Q451" s="50"/>
      <c r="R451" s="50"/>
      <c r="S451" s="51"/>
      <c r="T451" s="50"/>
      <c r="U451" s="50"/>
      <c r="V451" s="73"/>
      <c r="W451" s="50"/>
      <c r="X451" s="50"/>
      <c r="AN451" s="50"/>
      <c r="AO451" s="50"/>
      <c r="AP451" s="50"/>
      <c r="AQ451" s="50"/>
      <c r="AR451" s="50"/>
      <c r="AS451" s="51"/>
      <c r="AT451" s="50"/>
      <c r="AU451" s="50"/>
      <c r="AV451" s="73"/>
      <c r="AW451" s="50"/>
      <c r="AX451" s="50"/>
    </row>
    <row r="452" spans="14:50" x14ac:dyDescent="0.3">
      <c r="N452" s="50"/>
      <c r="O452" s="50"/>
      <c r="P452" s="50"/>
      <c r="Q452" s="50"/>
      <c r="R452" s="50"/>
      <c r="S452" s="51"/>
      <c r="T452" s="50"/>
      <c r="U452" s="50"/>
      <c r="V452" s="73"/>
      <c r="W452" s="50"/>
      <c r="X452" s="50"/>
      <c r="AN452" s="50"/>
      <c r="AO452" s="50"/>
      <c r="AP452" s="50"/>
      <c r="AQ452" s="50"/>
      <c r="AR452" s="50"/>
      <c r="AS452" s="51"/>
      <c r="AT452" s="50"/>
      <c r="AU452" s="50"/>
      <c r="AV452" s="73"/>
      <c r="AW452" s="50"/>
      <c r="AX452" s="50"/>
    </row>
    <row r="453" spans="14:50" x14ac:dyDescent="0.3">
      <c r="N453" s="50"/>
      <c r="O453" s="50"/>
      <c r="P453" s="50"/>
      <c r="Q453" s="50"/>
      <c r="R453" s="50"/>
      <c r="S453" s="51"/>
      <c r="T453" s="50"/>
      <c r="U453" s="50"/>
      <c r="V453" s="73"/>
      <c r="W453" s="50"/>
      <c r="X453" s="50"/>
      <c r="AN453" s="50"/>
      <c r="AO453" s="50"/>
      <c r="AP453" s="50"/>
      <c r="AQ453" s="50"/>
      <c r="AR453" s="50"/>
      <c r="AS453" s="51"/>
      <c r="AT453" s="50"/>
      <c r="AU453" s="50"/>
      <c r="AV453" s="73"/>
      <c r="AW453" s="50"/>
      <c r="AX453" s="50"/>
    </row>
    <row r="454" spans="14:50" x14ac:dyDescent="0.3">
      <c r="N454" s="50"/>
      <c r="O454" s="50"/>
      <c r="P454" s="50"/>
      <c r="Q454" s="50"/>
      <c r="R454" s="50"/>
      <c r="S454" s="51"/>
      <c r="T454" s="50"/>
      <c r="U454" s="50"/>
      <c r="V454" s="73"/>
      <c r="W454" s="50"/>
      <c r="X454" s="50"/>
      <c r="AN454" s="50"/>
      <c r="AO454" s="50"/>
      <c r="AP454" s="50"/>
      <c r="AQ454" s="50"/>
      <c r="AR454" s="50"/>
      <c r="AS454" s="51"/>
      <c r="AT454" s="50"/>
      <c r="AU454" s="50"/>
      <c r="AV454" s="73"/>
      <c r="AW454" s="50"/>
      <c r="AX454" s="50"/>
    </row>
    <row r="455" spans="14:50" x14ac:dyDescent="0.3">
      <c r="N455" s="50"/>
      <c r="O455" s="50"/>
      <c r="P455" s="50"/>
      <c r="Q455" s="50"/>
      <c r="R455" s="50"/>
      <c r="S455" s="51"/>
      <c r="T455" s="50"/>
      <c r="U455" s="50"/>
      <c r="V455" s="73"/>
      <c r="W455" s="50"/>
      <c r="X455" s="50"/>
      <c r="AN455" s="50"/>
      <c r="AO455" s="50"/>
      <c r="AP455" s="50"/>
      <c r="AQ455" s="50"/>
      <c r="AR455" s="50"/>
      <c r="AS455" s="51"/>
      <c r="AT455" s="50"/>
      <c r="AU455" s="50"/>
      <c r="AV455" s="73"/>
      <c r="AW455" s="50"/>
      <c r="AX455" s="50"/>
    </row>
    <row r="456" spans="14:50" x14ac:dyDescent="0.3">
      <c r="N456" s="50"/>
      <c r="O456" s="50"/>
      <c r="P456" s="50"/>
      <c r="Q456" s="50"/>
      <c r="R456" s="50"/>
      <c r="S456" s="51"/>
      <c r="T456" s="50"/>
      <c r="U456" s="50"/>
      <c r="V456" s="73"/>
      <c r="W456" s="50"/>
      <c r="X456" s="50"/>
      <c r="AN456" s="50"/>
      <c r="AO456" s="50"/>
      <c r="AP456" s="50"/>
      <c r="AQ456" s="50"/>
      <c r="AR456" s="50"/>
      <c r="AS456" s="51"/>
      <c r="AT456" s="50"/>
      <c r="AU456" s="50"/>
      <c r="AV456" s="73"/>
      <c r="AW456" s="50"/>
      <c r="AX456" s="50"/>
    </row>
    <row r="457" spans="14:50" x14ac:dyDescent="0.3">
      <c r="N457" s="50"/>
      <c r="O457" s="50"/>
      <c r="P457" s="50"/>
      <c r="Q457" s="50"/>
      <c r="R457" s="50"/>
      <c r="S457" s="51"/>
      <c r="T457" s="50"/>
      <c r="U457" s="50"/>
      <c r="V457" s="73"/>
      <c r="W457" s="50"/>
      <c r="X457" s="50"/>
      <c r="AN457" s="50"/>
      <c r="AO457" s="50"/>
      <c r="AP457" s="50"/>
      <c r="AQ457" s="50"/>
      <c r="AR457" s="50"/>
      <c r="AS457" s="51"/>
      <c r="AT457" s="50"/>
      <c r="AU457" s="50"/>
      <c r="AV457" s="73"/>
      <c r="AW457" s="50"/>
      <c r="AX457" s="50"/>
    </row>
    <row r="458" spans="14:50" x14ac:dyDescent="0.3">
      <c r="N458" s="50"/>
      <c r="O458" s="50"/>
      <c r="P458" s="50"/>
      <c r="Q458" s="50"/>
      <c r="R458" s="50"/>
      <c r="S458" s="51"/>
      <c r="T458" s="50"/>
      <c r="U458" s="50"/>
      <c r="V458" s="73"/>
      <c r="W458" s="50"/>
      <c r="X458" s="50"/>
      <c r="AN458" s="50"/>
      <c r="AO458" s="50"/>
      <c r="AP458" s="50"/>
      <c r="AQ458" s="50"/>
      <c r="AR458" s="50"/>
      <c r="AS458" s="51"/>
      <c r="AT458" s="50"/>
      <c r="AU458" s="50"/>
      <c r="AV458" s="73"/>
      <c r="AW458" s="50"/>
      <c r="AX458" s="50"/>
    </row>
    <row r="459" spans="14:50" x14ac:dyDescent="0.3">
      <c r="N459" s="50"/>
      <c r="O459" s="50"/>
      <c r="P459" s="50"/>
      <c r="Q459" s="50"/>
      <c r="R459" s="50"/>
      <c r="S459" s="51"/>
      <c r="T459" s="50"/>
      <c r="U459" s="50"/>
      <c r="V459" s="73"/>
      <c r="W459" s="50"/>
      <c r="X459" s="50"/>
      <c r="AN459" s="50"/>
      <c r="AO459" s="50"/>
      <c r="AP459" s="50"/>
      <c r="AQ459" s="50"/>
      <c r="AR459" s="50"/>
      <c r="AS459" s="51"/>
      <c r="AT459" s="50"/>
      <c r="AU459" s="50"/>
      <c r="AV459" s="73"/>
      <c r="AW459" s="50"/>
      <c r="AX459" s="50"/>
    </row>
    <row r="460" spans="14:50" x14ac:dyDescent="0.3">
      <c r="N460" s="50"/>
      <c r="O460" s="50"/>
      <c r="P460" s="50"/>
      <c r="Q460" s="50"/>
      <c r="R460" s="50"/>
      <c r="S460" s="51"/>
      <c r="T460" s="50"/>
      <c r="U460" s="50"/>
      <c r="V460" s="73"/>
      <c r="W460" s="50"/>
      <c r="X460" s="50"/>
      <c r="AN460" s="50"/>
      <c r="AO460" s="50"/>
      <c r="AP460" s="50"/>
      <c r="AQ460" s="50"/>
      <c r="AR460" s="50"/>
      <c r="AS460" s="51"/>
      <c r="AT460" s="50"/>
      <c r="AU460" s="50"/>
      <c r="AV460" s="73"/>
      <c r="AW460" s="50"/>
      <c r="AX460" s="50"/>
    </row>
    <row r="461" spans="14:50" x14ac:dyDescent="0.3">
      <c r="N461" s="50"/>
      <c r="O461" s="50"/>
      <c r="P461" s="50"/>
      <c r="Q461" s="50"/>
      <c r="R461" s="50"/>
      <c r="S461" s="51"/>
      <c r="T461" s="50"/>
      <c r="U461" s="50"/>
      <c r="V461" s="73"/>
      <c r="W461" s="50"/>
      <c r="X461" s="50"/>
      <c r="AN461" s="50"/>
      <c r="AO461" s="50"/>
      <c r="AP461" s="50"/>
      <c r="AQ461" s="50"/>
      <c r="AR461" s="50"/>
      <c r="AS461" s="51"/>
      <c r="AT461" s="50"/>
      <c r="AU461" s="50"/>
      <c r="AV461" s="73"/>
      <c r="AW461" s="50"/>
      <c r="AX461" s="50"/>
    </row>
    <row r="462" spans="14:50" x14ac:dyDescent="0.3">
      <c r="N462" s="50"/>
      <c r="O462" s="50"/>
      <c r="P462" s="50"/>
      <c r="Q462" s="50"/>
      <c r="R462" s="50"/>
      <c r="S462" s="51"/>
      <c r="T462" s="50"/>
      <c r="U462" s="50"/>
      <c r="V462" s="73"/>
      <c r="W462" s="50"/>
      <c r="X462" s="50"/>
      <c r="AN462" s="50"/>
      <c r="AO462" s="50"/>
      <c r="AP462" s="50"/>
      <c r="AQ462" s="50"/>
      <c r="AR462" s="50"/>
      <c r="AS462" s="51"/>
      <c r="AT462" s="50"/>
      <c r="AU462" s="50"/>
      <c r="AV462" s="73"/>
      <c r="AW462" s="50"/>
      <c r="AX462" s="50"/>
    </row>
    <row r="463" spans="14:50" x14ac:dyDescent="0.3">
      <c r="N463" s="50"/>
      <c r="O463" s="50"/>
      <c r="P463" s="50"/>
      <c r="Q463" s="50"/>
      <c r="R463" s="50"/>
      <c r="S463" s="51"/>
      <c r="T463" s="50"/>
      <c r="U463" s="50"/>
      <c r="V463" s="73"/>
      <c r="W463" s="50"/>
      <c r="X463" s="50"/>
      <c r="AN463" s="50"/>
      <c r="AO463" s="50"/>
      <c r="AP463" s="50"/>
      <c r="AQ463" s="50"/>
      <c r="AR463" s="50"/>
      <c r="AS463" s="51"/>
      <c r="AT463" s="50"/>
      <c r="AU463" s="50"/>
      <c r="AV463" s="73"/>
      <c r="AW463" s="50"/>
      <c r="AX463" s="50"/>
    </row>
    <row r="464" spans="14:50" x14ac:dyDescent="0.3">
      <c r="N464" s="50"/>
      <c r="O464" s="50"/>
      <c r="P464" s="50"/>
      <c r="Q464" s="50"/>
      <c r="R464" s="50"/>
      <c r="S464" s="51"/>
      <c r="T464" s="50"/>
      <c r="U464" s="50"/>
      <c r="V464" s="73"/>
      <c r="W464" s="50"/>
      <c r="X464" s="50"/>
      <c r="AN464" s="50"/>
      <c r="AO464" s="50"/>
      <c r="AP464" s="50"/>
      <c r="AQ464" s="50"/>
      <c r="AR464" s="50"/>
      <c r="AS464" s="51"/>
      <c r="AT464" s="50"/>
      <c r="AU464" s="50"/>
      <c r="AV464" s="73"/>
      <c r="AW464" s="50"/>
      <c r="AX464" s="50"/>
    </row>
    <row r="465" spans="14:50" x14ac:dyDescent="0.3">
      <c r="N465" s="50"/>
      <c r="O465" s="50"/>
      <c r="P465" s="50"/>
      <c r="Q465" s="50"/>
      <c r="R465" s="50"/>
      <c r="S465" s="51"/>
      <c r="T465" s="50"/>
      <c r="U465" s="50"/>
      <c r="V465" s="73"/>
      <c r="W465" s="50"/>
      <c r="X465" s="50"/>
      <c r="AN465" s="50"/>
      <c r="AO465" s="50"/>
      <c r="AP465" s="50"/>
      <c r="AQ465" s="50"/>
      <c r="AR465" s="50"/>
      <c r="AS465" s="51"/>
      <c r="AT465" s="50"/>
      <c r="AU465" s="50"/>
      <c r="AV465" s="73"/>
      <c r="AW465" s="50"/>
      <c r="AX465" s="50"/>
    </row>
    <row r="466" spans="14:50" x14ac:dyDescent="0.3">
      <c r="N466" s="50"/>
      <c r="O466" s="50"/>
      <c r="P466" s="50"/>
      <c r="Q466" s="50"/>
      <c r="R466" s="50"/>
      <c r="S466" s="51"/>
      <c r="T466" s="50"/>
      <c r="U466" s="50"/>
      <c r="V466" s="73"/>
      <c r="W466" s="50"/>
      <c r="X466" s="50"/>
      <c r="AN466" s="50"/>
      <c r="AO466" s="50"/>
      <c r="AP466" s="50"/>
      <c r="AQ466" s="50"/>
      <c r="AR466" s="50"/>
      <c r="AS466" s="51"/>
      <c r="AT466" s="50"/>
      <c r="AU466" s="50"/>
      <c r="AV466" s="73"/>
      <c r="AW466" s="50"/>
      <c r="AX466" s="50"/>
    </row>
    <row r="467" spans="14:50" x14ac:dyDescent="0.3">
      <c r="N467" s="50"/>
      <c r="O467" s="50"/>
      <c r="P467" s="50"/>
      <c r="Q467" s="50"/>
      <c r="R467" s="50"/>
      <c r="S467" s="51"/>
      <c r="T467" s="50"/>
      <c r="U467" s="50"/>
      <c r="V467" s="73"/>
      <c r="W467" s="50"/>
      <c r="X467" s="50"/>
      <c r="AN467" s="50"/>
      <c r="AO467" s="50"/>
      <c r="AP467" s="50"/>
      <c r="AQ467" s="50"/>
      <c r="AR467" s="50"/>
      <c r="AS467" s="51"/>
      <c r="AT467" s="50"/>
      <c r="AU467" s="50"/>
      <c r="AV467" s="73"/>
      <c r="AW467" s="50"/>
      <c r="AX467" s="50"/>
    </row>
    <row r="468" spans="14:50" x14ac:dyDescent="0.3">
      <c r="N468" s="50"/>
      <c r="O468" s="50"/>
      <c r="P468" s="50"/>
      <c r="Q468" s="50"/>
      <c r="R468" s="50"/>
      <c r="S468" s="51"/>
      <c r="T468" s="50"/>
      <c r="U468" s="50"/>
      <c r="V468" s="73"/>
      <c r="W468" s="50"/>
      <c r="X468" s="50"/>
      <c r="AN468" s="50"/>
      <c r="AO468" s="50"/>
      <c r="AP468" s="50"/>
      <c r="AQ468" s="50"/>
      <c r="AR468" s="50"/>
      <c r="AS468" s="51"/>
      <c r="AT468" s="50"/>
      <c r="AU468" s="50"/>
      <c r="AV468" s="73"/>
      <c r="AW468" s="50"/>
      <c r="AX468" s="50"/>
    </row>
    <row r="469" spans="14:50" x14ac:dyDescent="0.3">
      <c r="N469" s="50"/>
      <c r="O469" s="50"/>
      <c r="P469" s="50"/>
      <c r="Q469" s="50"/>
      <c r="R469" s="50"/>
      <c r="S469" s="51"/>
      <c r="T469" s="50"/>
      <c r="U469" s="50"/>
      <c r="V469" s="73"/>
      <c r="W469" s="50"/>
      <c r="X469" s="50"/>
      <c r="AN469" s="50"/>
      <c r="AO469" s="50"/>
      <c r="AP469" s="50"/>
      <c r="AQ469" s="50"/>
      <c r="AR469" s="50"/>
      <c r="AS469" s="51"/>
      <c r="AT469" s="50"/>
      <c r="AU469" s="50"/>
      <c r="AV469" s="73"/>
      <c r="AW469" s="50"/>
      <c r="AX469" s="50"/>
    </row>
    <row r="470" spans="14:50" x14ac:dyDescent="0.3">
      <c r="N470" s="50"/>
      <c r="O470" s="50"/>
      <c r="P470" s="50"/>
      <c r="Q470" s="50"/>
      <c r="R470" s="50"/>
      <c r="S470" s="51"/>
      <c r="T470" s="50"/>
      <c r="U470" s="50"/>
      <c r="V470" s="73"/>
      <c r="W470" s="50"/>
      <c r="X470" s="50"/>
      <c r="AN470" s="50"/>
      <c r="AO470" s="50"/>
      <c r="AP470" s="50"/>
      <c r="AQ470" s="50"/>
      <c r="AR470" s="50"/>
      <c r="AS470" s="51"/>
      <c r="AT470" s="50"/>
      <c r="AU470" s="50"/>
      <c r="AV470" s="73"/>
      <c r="AW470" s="50"/>
      <c r="AX470" s="50"/>
    </row>
    <row r="471" spans="14:50" x14ac:dyDescent="0.3">
      <c r="N471" s="50"/>
      <c r="O471" s="50"/>
      <c r="P471" s="50"/>
      <c r="Q471" s="50"/>
      <c r="R471" s="50"/>
      <c r="S471" s="51"/>
      <c r="T471" s="50"/>
      <c r="U471" s="50"/>
      <c r="V471" s="73"/>
      <c r="W471" s="50"/>
      <c r="X471" s="50"/>
      <c r="AN471" s="50"/>
      <c r="AO471" s="50"/>
      <c r="AP471" s="50"/>
      <c r="AQ471" s="50"/>
      <c r="AR471" s="50"/>
      <c r="AS471" s="51"/>
      <c r="AT471" s="50"/>
      <c r="AU471" s="50"/>
      <c r="AV471" s="73"/>
      <c r="AW471" s="50"/>
      <c r="AX471" s="50"/>
    </row>
    <row r="472" spans="14:50" x14ac:dyDescent="0.3">
      <c r="N472" s="50"/>
      <c r="O472" s="50"/>
      <c r="P472" s="50"/>
      <c r="Q472" s="50"/>
      <c r="R472" s="50"/>
      <c r="S472" s="51"/>
      <c r="T472" s="50"/>
      <c r="U472" s="50"/>
      <c r="V472" s="73"/>
      <c r="W472" s="50"/>
      <c r="X472" s="50"/>
      <c r="AN472" s="50"/>
      <c r="AO472" s="50"/>
      <c r="AP472" s="50"/>
      <c r="AQ472" s="50"/>
      <c r="AR472" s="50"/>
      <c r="AS472" s="51"/>
      <c r="AT472" s="50"/>
      <c r="AU472" s="50"/>
      <c r="AV472" s="73"/>
      <c r="AW472" s="50"/>
      <c r="AX472" s="50"/>
    </row>
    <row r="473" spans="14:50" x14ac:dyDescent="0.3">
      <c r="N473" s="50"/>
      <c r="O473" s="50"/>
      <c r="P473" s="50"/>
      <c r="Q473" s="50"/>
      <c r="R473" s="50"/>
      <c r="S473" s="51"/>
      <c r="T473" s="50"/>
      <c r="U473" s="50"/>
      <c r="V473" s="73"/>
      <c r="W473" s="50"/>
      <c r="X473" s="50"/>
      <c r="AN473" s="50"/>
      <c r="AO473" s="50"/>
      <c r="AP473" s="50"/>
      <c r="AQ473" s="50"/>
      <c r="AR473" s="50"/>
      <c r="AS473" s="51"/>
      <c r="AT473" s="50"/>
      <c r="AU473" s="50"/>
      <c r="AV473" s="73"/>
      <c r="AW473" s="50"/>
      <c r="AX473" s="50"/>
    </row>
    <row r="474" spans="14:50" x14ac:dyDescent="0.3">
      <c r="N474" s="50"/>
      <c r="O474" s="50"/>
      <c r="P474" s="50"/>
      <c r="Q474" s="50"/>
      <c r="R474" s="50"/>
      <c r="S474" s="51"/>
      <c r="T474" s="50"/>
      <c r="U474" s="50"/>
      <c r="V474" s="73"/>
      <c r="W474" s="50"/>
      <c r="X474" s="50"/>
      <c r="AN474" s="50"/>
      <c r="AO474" s="50"/>
      <c r="AP474" s="50"/>
      <c r="AQ474" s="50"/>
      <c r="AR474" s="50"/>
      <c r="AS474" s="51"/>
      <c r="AT474" s="50"/>
      <c r="AU474" s="50"/>
      <c r="AV474" s="73"/>
      <c r="AW474" s="50"/>
      <c r="AX474" s="50"/>
    </row>
    <row r="475" spans="14:50" x14ac:dyDescent="0.3">
      <c r="N475" s="50"/>
      <c r="O475" s="50"/>
      <c r="P475" s="50"/>
      <c r="Q475" s="50"/>
      <c r="R475" s="50"/>
      <c r="S475" s="51"/>
      <c r="T475" s="50"/>
      <c r="U475" s="50"/>
      <c r="V475" s="73"/>
      <c r="W475" s="50"/>
      <c r="X475" s="50"/>
      <c r="AN475" s="50"/>
      <c r="AO475" s="50"/>
      <c r="AP475" s="50"/>
      <c r="AQ475" s="50"/>
      <c r="AR475" s="50"/>
      <c r="AS475" s="51"/>
      <c r="AT475" s="50"/>
      <c r="AU475" s="50"/>
      <c r="AV475" s="73"/>
      <c r="AW475" s="50"/>
      <c r="AX475" s="50"/>
    </row>
    <row r="476" spans="14:50" x14ac:dyDescent="0.3">
      <c r="N476" s="50"/>
      <c r="O476" s="50"/>
      <c r="P476" s="50"/>
      <c r="Q476" s="50"/>
      <c r="R476" s="50"/>
      <c r="S476" s="51"/>
      <c r="T476" s="50"/>
      <c r="U476" s="50"/>
      <c r="V476" s="73"/>
      <c r="W476" s="50"/>
      <c r="X476" s="50"/>
      <c r="AN476" s="50"/>
      <c r="AO476" s="50"/>
      <c r="AP476" s="50"/>
      <c r="AQ476" s="50"/>
      <c r="AR476" s="50"/>
      <c r="AS476" s="51"/>
      <c r="AT476" s="50"/>
      <c r="AU476" s="50"/>
      <c r="AV476" s="73"/>
      <c r="AW476" s="50"/>
      <c r="AX476" s="50"/>
    </row>
    <row r="477" spans="14:50" x14ac:dyDescent="0.3">
      <c r="N477" s="50"/>
      <c r="O477" s="50"/>
      <c r="P477" s="50"/>
      <c r="Q477" s="50"/>
      <c r="R477" s="50"/>
      <c r="S477" s="51"/>
      <c r="T477" s="50"/>
      <c r="U477" s="50"/>
      <c r="V477" s="73"/>
      <c r="W477" s="50"/>
      <c r="X477" s="50"/>
      <c r="AN477" s="50"/>
      <c r="AO477" s="50"/>
      <c r="AP477" s="50"/>
      <c r="AQ477" s="50"/>
      <c r="AR477" s="50"/>
      <c r="AS477" s="51"/>
      <c r="AT477" s="50"/>
      <c r="AU477" s="50"/>
      <c r="AV477" s="73"/>
      <c r="AW477" s="50"/>
      <c r="AX477" s="50"/>
    </row>
    <row r="478" spans="14:50" x14ac:dyDescent="0.3">
      <c r="N478" s="50"/>
      <c r="O478" s="50"/>
      <c r="P478" s="50"/>
      <c r="Q478" s="50"/>
      <c r="R478" s="50"/>
      <c r="S478" s="51"/>
      <c r="T478" s="50"/>
      <c r="U478" s="50"/>
      <c r="V478" s="73"/>
      <c r="W478" s="50"/>
      <c r="X478" s="50"/>
      <c r="AN478" s="50"/>
      <c r="AO478" s="50"/>
      <c r="AP478" s="50"/>
      <c r="AQ478" s="50"/>
      <c r="AR478" s="50"/>
      <c r="AS478" s="51"/>
      <c r="AT478" s="50"/>
      <c r="AU478" s="50"/>
      <c r="AV478" s="73"/>
      <c r="AW478" s="50"/>
      <c r="AX478" s="50"/>
    </row>
    <row r="479" spans="14:50" x14ac:dyDescent="0.3">
      <c r="N479" s="50"/>
      <c r="O479" s="50"/>
      <c r="P479" s="50"/>
      <c r="Q479" s="50"/>
      <c r="R479" s="50"/>
      <c r="S479" s="51"/>
      <c r="T479" s="50"/>
      <c r="U479" s="50"/>
      <c r="V479" s="73"/>
      <c r="W479" s="50"/>
      <c r="X479" s="50"/>
      <c r="AN479" s="50"/>
      <c r="AO479" s="50"/>
      <c r="AP479" s="50"/>
      <c r="AQ479" s="50"/>
      <c r="AR479" s="50"/>
      <c r="AS479" s="51"/>
      <c r="AT479" s="50"/>
      <c r="AU479" s="50"/>
      <c r="AV479" s="73"/>
      <c r="AW479" s="50"/>
      <c r="AX479" s="50"/>
    </row>
    <row r="480" spans="14:50" x14ac:dyDescent="0.3">
      <c r="N480" s="50"/>
      <c r="O480" s="50"/>
      <c r="P480" s="50"/>
      <c r="Q480" s="50"/>
      <c r="R480" s="50"/>
      <c r="S480" s="51"/>
      <c r="T480" s="50"/>
      <c r="U480" s="50"/>
      <c r="V480" s="73"/>
      <c r="W480" s="50"/>
      <c r="X480" s="50"/>
      <c r="AN480" s="50"/>
      <c r="AO480" s="50"/>
      <c r="AP480" s="50"/>
      <c r="AQ480" s="50"/>
      <c r="AR480" s="50"/>
      <c r="AS480" s="51"/>
      <c r="AT480" s="50"/>
      <c r="AU480" s="50"/>
      <c r="AV480" s="73"/>
      <c r="AW480" s="50"/>
      <c r="AX480" s="50"/>
    </row>
    <row r="481" spans="14:50" x14ac:dyDescent="0.3">
      <c r="N481" s="50"/>
      <c r="O481" s="50"/>
      <c r="P481" s="50"/>
      <c r="Q481" s="50"/>
      <c r="R481" s="50"/>
      <c r="S481" s="51"/>
      <c r="T481" s="50"/>
      <c r="U481" s="50"/>
      <c r="V481" s="73"/>
      <c r="W481" s="50"/>
      <c r="X481" s="50"/>
      <c r="AN481" s="50"/>
      <c r="AO481" s="50"/>
      <c r="AP481" s="50"/>
      <c r="AQ481" s="50"/>
      <c r="AR481" s="50"/>
      <c r="AS481" s="51"/>
      <c r="AT481" s="50"/>
      <c r="AU481" s="50"/>
      <c r="AV481" s="73"/>
      <c r="AW481" s="50"/>
      <c r="AX481" s="50"/>
    </row>
    <row r="482" spans="14:50" x14ac:dyDescent="0.3">
      <c r="N482" s="50"/>
      <c r="O482" s="50"/>
      <c r="P482" s="50"/>
      <c r="Q482" s="50"/>
      <c r="R482" s="50"/>
      <c r="S482" s="51"/>
      <c r="T482" s="50"/>
      <c r="U482" s="50"/>
      <c r="V482" s="73"/>
      <c r="W482" s="50"/>
      <c r="X482" s="50"/>
      <c r="AN482" s="50"/>
      <c r="AO482" s="50"/>
      <c r="AP482" s="50"/>
      <c r="AQ482" s="50"/>
      <c r="AR482" s="50"/>
      <c r="AS482" s="51"/>
      <c r="AT482" s="50"/>
      <c r="AU482" s="50"/>
      <c r="AV482" s="73"/>
      <c r="AW482" s="50"/>
      <c r="AX482" s="50"/>
    </row>
    <row r="483" spans="14:50" x14ac:dyDescent="0.3">
      <c r="N483" s="50"/>
      <c r="O483" s="50"/>
      <c r="P483" s="50"/>
      <c r="Q483" s="50"/>
      <c r="R483" s="50"/>
      <c r="S483" s="51"/>
      <c r="T483" s="50"/>
      <c r="U483" s="50"/>
      <c r="V483" s="73"/>
      <c r="W483" s="50"/>
      <c r="X483" s="50"/>
      <c r="AN483" s="50"/>
      <c r="AO483" s="50"/>
      <c r="AP483" s="50"/>
      <c r="AQ483" s="50"/>
      <c r="AR483" s="50"/>
      <c r="AS483" s="51"/>
      <c r="AT483" s="50"/>
      <c r="AU483" s="50"/>
      <c r="AV483" s="73"/>
      <c r="AW483" s="50"/>
      <c r="AX483" s="50"/>
    </row>
    <row r="484" spans="14:50" x14ac:dyDescent="0.3">
      <c r="N484" s="50"/>
      <c r="O484" s="50"/>
      <c r="P484" s="50"/>
      <c r="Q484" s="50"/>
      <c r="R484" s="50"/>
      <c r="S484" s="51"/>
      <c r="T484" s="50"/>
      <c r="U484" s="50"/>
      <c r="V484" s="73"/>
      <c r="W484" s="50"/>
      <c r="X484" s="50"/>
      <c r="AN484" s="50"/>
      <c r="AO484" s="50"/>
      <c r="AP484" s="50"/>
      <c r="AQ484" s="50"/>
      <c r="AR484" s="50"/>
      <c r="AS484" s="51"/>
      <c r="AT484" s="50"/>
      <c r="AU484" s="50"/>
      <c r="AV484" s="73"/>
      <c r="AW484" s="50"/>
      <c r="AX484" s="50"/>
    </row>
    <row r="485" spans="14:50" x14ac:dyDescent="0.3">
      <c r="N485" s="50"/>
      <c r="O485" s="50"/>
      <c r="P485" s="50"/>
      <c r="Q485" s="50"/>
      <c r="R485" s="50"/>
      <c r="S485" s="51"/>
      <c r="T485" s="50"/>
      <c r="U485" s="50"/>
      <c r="V485" s="73"/>
      <c r="W485" s="50"/>
      <c r="X485" s="50"/>
      <c r="AN485" s="50"/>
      <c r="AO485" s="50"/>
      <c r="AP485" s="50"/>
      <c r="AQ485" s="50"/>
      <c r="AR485" s="50"/>
      <c r="AS485" s="51"/>
      <c r="AT485" s="50"/>
      <c r="AU485" s="50"/>
      <c r="AV485" s="73"/>
      <c r="AW485" s="50"/>
      <c r="AX485" s="50"/>
    </row>
    <row r="486" spans="14:50" x14ac:dyDescent="0.3">
      <c r="N486" s="50"/>
      <c r="O486" s="50"/>
      <c r="P486" s="50"/>
      <c r="Q486" s="50"/>
      <c r="R486" s="50"/>
      <c r="S486" s="51"/>
      <c r="T486" s="50"/>
      <c r="U486" s="50"/>
      <c r="V486" s="73"/>
      <c r="W486" s="50"/>
      <c r="X486" s="50"/>
      <c r="AN486" s="50"/>
      <c r="AO486" s="50"/>
      <c r="AP486" s="50"/>
      <c r="AQ486" s="50"/>
      <c r="AR486" s="50"/>
      <c r="AS486" s="51"/>
      <c r="AT486" s="50"/>
      <c r="AU486" s="50"/>
      <c r="AV486" s="73"/>
      <c r="AW486" s="50"/>
      <c r="AX486" s="50"/>
    </row>
    <row r="487" spans="14:50" x14ac:dyDescent="0.3">
      <c r="N487" s="50"/>
      <c r="O487" s="50"/>
      <c r="P487" s="50"/>
      <c r="Q487" s="50"/>
      <c r="R487" s="50"/>
      <c r="S487" s="51"/>
      <c r="T487" s="50"/>
      <c r="U487" s="50"/>
      <c r="V487" s="73"/>
      <c r="W487" s="50"/>
      <c r="X487" s="50"/>
      <c r="AN487" s="50"/>
      <c r="AO487" s="50"/>
      <c r="AP487" s="50"/>
      <c r="AQ487" s="50"/>
      <c r="AR487" s="50"/>
      <c r="AS487" s="51"/>
      <c r="AT487" s="50"/>
      <c r="AU487" s="50"/>
      <c r="AV487" s="73"/>
      <c r="AW487" s="50"/>
      <c r="AX487" s="50"/>
    </row>
    <row r="488" spans="14:50" x14ac:dyDescent="0.3">
      <c r="N488" s="50"/>
      <c r="O488" s="50"/>
      <c r="P488" s="50"/>
      <c r="Q488" s="50"/>
      <c r="R488" s="50"/>
      <c r="S488" s="51"/>
      <c r="T488" s="50"/>
      <c r="U488" s="50"/>
      <c r="V488" s="73"/>
      <c r="W488" s="50"/>
      <c r="X488" s="50"/>
      <c r="AN488" s="50"/>
      <c r="AO488" s="50"/>
      <c r="AP488" s="50"/>
      <c r="AQ488" s="50"/>
      <c r="AR488" s="50"/>
      <c r="AS488" s="51"/>
      <c r="AT488" s="50"/>
      <c r="AU488" s="50"/>
      <c r="AV488" s="73"/>
      <c r="AW488" s="50"/>
      <c r="AX488" s="50"/>
    </row>
    <row r="489" spans="14:50" x14ac:dyDescent="0.3">
      <c r="N489" s="50"/>
      <c r="O489" s="50"/>
      <c r="P489" s="50"/>
      <c r="Q489" s="50"/>
      <c r="R489" s="50"/>
      <c r="S489" s="51"/>
      <c r="T489" s="50"/>
      <c r="U489" s="50"/>
      <c r="V489" s="73"/>
      <c r="W489" s="50"/>
      <c r="X489" s="50"/>
      <c r="AN489" s="50"/>
      <c r="AO489" s="50"/>
      <c r="AP489" s="50"/>
      <c r="AQ489" s="50"/>
      <c r="AR489" s="50"/>
      <c r="AS489" s="51"/>
      <c r="AT489" s="50"/>
      <c r="AU489" s="50"/>
      <c r="AV489" s="73"/>
      <c r="AW489" s="50"/>
      <c r="AX489" s="50"/>
    </row>
    <row r="490" spans="14:50" x14ac:dyDescent="0.3">
      <c r="N490" s="50"/>
      <c r="O490" s="50"/>
      <c r="P490" s="50"/>
      <c r="Q490" s="50"/>
      <c r="R490" s="50"/>
      <c r="S490" s="51"/>
      <c r="T490" s="50"/>
      <c r="U490" s="50"/>
      <c r="V490" s="73"/>
      <c r="W490" s="50"/>
      <c r="X490" s="50"/>
      <c r="AN490" s="50"/>
      <c r="AO490" s="50"/>
      <c r="AP490" s="50"/>
      <c r="AQ490" s="50"/>
      <c r="AR490" s="50"/>
      <c r="AS490" s="51"/>
      <c r="AT490" s="50"/>
      <c r="AU490" s="50"/>
      <c r="AV490" s="73"/>
      <c r="AW490" s="50"/>
      <c r="AX490" s="50"/>
    </row>
    <row r="491" spans="14:50" x14ac:dyDescent="0.3">
      <c r="N491" s="50"/>
      <c r="O491" s="50"/>
      <c r="P491" s="50"/>
      <c r="Q491" s="50"/>
      <c r="R491" s="50"/>
      <c r="S491" s="51"/>
      <c r="T491" s="50"/>
      <c r="U491" s="50"/>
      <c r="V491" s="73"/>
      <c r="W491" s="50"/>
      <c r="X491" s="50"/>
      <c r="AN491" s="50"/>
      <c r="AO491" s="50"/>
      <c r="AP491" s="50"/>
      <c r="AQ491" s="50"/>
      <c r="AR491" s="50"/>
      <c r="AS491" s="51"/>
      <c r="AT491" s="50"/>
      <c r="AU491" s="50"/>
      <c r="AV491" s="73"/>
      <c r="AW491" s="50"/>
      <c r="AX491" s="50"/>
    </row>
    <row r="492" spans="14:50" x14ac:dyDescent="0.3">
      <c r="N492" s="50"/>
      <c r="O492" s="50"/>
      <c r="P492" s="50"/>
      <c r="Q492" s="50"/>
      <c r="R492" s="50"/>
      <c r="S492" s="51"/>
      <c r="T492" s="50"/>
      <c r="U492" s="50"/>
      <c r="V492" s="73"/>
      <c r="W492" s="50"/>
      <c r="X492" s="50"/>
      <c r="AN492" s="50"/>
      <c r="AO492" s="50"/>
      <c r="AP492" s="50"/>
      <c r="AQ492" s="50"/>
      <c r="AR492" s="50"/>
      <c r="AS492" s="51"/>
      <c r="AT492" s="50"/>
      <c r="AU492" s="50"/>
      <c r="AV492" s="73"/>
      <c r="AW492" s="50"/>
      <c r="AX492" s="50"/>
    </row>
    <row r="493" spans="14:50" x14ac:dyDescent="0.3">
      <c r="N493" s="50"/>
      <c r="O493" s="50"/>
      <c r="P493" s="50"/>
      <c r="Q493" s="50"/>
      <c r="R493" s="50"/>
      <c r="S493" s="51"/>
      <c r="T493" s="50"/>
      <c r="U493" s="50"/>
      <c r="V493" s="73"/>
      <c r="W493" s="50"/>
      <c r="X493" s="50"/>
      <c r="AN493" s="50"/>
      <c r="AO493" s="50"/>
      <c r="AP493" s="50"/>
      <c r="AQ493" s="50"/>
      <c r="AR493" s="50"/>
      <c r="AS493" s="51"/>
      <c r="AT493" s="50"/>
      <c r="AU493" s="50"/>
      <c r="AV493" s="73"/>
      <c r="AW493" s="50"/>
      <c r="AX493" s="50"/>
    </row>
    <row r="494" spans="14:50" x14ac:dyDescent="0.3">
      <c r="N494" s="50"/>
      <c r="O494" s="50"/>
      <c r="P494" s="50"/>
      <c r="Q494" s="50"/>
      <c r="R494" s="50"/>
      <c r="S494" s="51"/>
      <c r="T494" s="50"/>
      <c r="U494" s="50"/>
      <c r="V494" s="73"/>
      <c r="W494" s="50"/>
      <c r="X494" s="50"/>
      <c r="AN494" s="50"/>
      <c r="AO494" s="50"/>
      <c r="AP494" s="50"/>
      <c r="AQ494" s="50"/>
      <c r="AR494" s="50"/>
      <c r="AS494" s="51"/>
      <c r="AT494" s="50"/>
      <c r="AU494" s="50"/>
      <c r="AV494" s="73"/>
      <c r="AW494" s="50"/>
      <c r="AX494" s="50"/>
    </row>
    <row r="495" spans="14:50" x14ac:dyDescent="0.3">
      <c r="N495" s="50"/>
      <c r="O495" s="50"/>
      <c r="P495" s="50"/>
      <c r="Q495" s="50"/>
      <c r="R495" s="50"/>
      <c r="S495" s="51"/>
      <c r="T495" s="50"/>
      <c r="U495" s="50"/>
      <c r="V495" s="73"/>
      <c r="W495" s="50"/>
      <c r="X495" s="50"/>
      <c r="AN495" s="50"/>
      <c r="AO495" s="50"/>
      <c r="AP495" s="50"/>
      <c r="AQ495" s="50"/>
      <c r="AR495" s="50"/>
      <c r="AS495" s="51"/>
      <c r="AT495" s="50"/>
      <c r="AU495" s="50"/>
      <c r="AV495" s="73"/>
      <c r="AW495" s="50"/>
      <c r="AX495" s="50"/>
    </row>
    <row r="496" spans="14:50" x14ac:dyDescent="0.3">
      <c r="N496" s="50"/>
      <c r="O496" s="50"/>
      <c r="P496" s="50"/>
      <c r="Q496" s="50"/>
      <c r="R496" s="50"/>
      <c r="S496" s="51"/>
      <c r="T496" s="50"/>
      <c r="U496" s="50"/>
      <c r="V496" s="73"/>
      <c r="W496" s="50"/>
      <c r="X496" s="50"/>
      <c r="AN496" s="50"/>
      <c r="AO496" s="50"/>
      <c r="AP496" s="50"/>
      <c r="AQ496" s="50"/>
      <c r="AR496" s="50"/>
      <c r="AS496" s="51"/>
      <c r="AT496" s="50"/>
      <c r="AU496" s="50"/>
      <c r="AV496" s="73"/>
      <c r="AW496" s="50"/>
      <c r="AX496" s="50"/>
    </row>
    <row r="497" spans="14:50" x14ac:dyDescent="0.3">
      <c r="N497" s="50"/>
      <c r="O497" s="50"/>
      <c r="P497" s="50"/>
      <c r="Q497" s="50"/>
      <c r="R497" s="50"/>
      <c r="S497" s="51"/>
      <c r="T497" s="50"/>
      <c r="U497" s="50"/>
      <c r="V497" s="73"/>
      <c r="W497" s="50"/>
      <c r="X497" s="50"/>
      <c r="AN497" s="50"/>
      <c r="AO497" s="50"/>
      <c r="AP497" s="50"/>
      <c r="AQ497" s="50"/>
      <c r="AR497" s="50"/>
      <c r="AS497" s="51"/>
      <c r="AT497" s="50"/>
      <c r="AU497" s="50"/>
      <c r="AV497" s="73"/>
      <c r="AW497" s="50"/>
      <c r="AX497" s="50"/>
    </row>
    <row r="498" spans="14:50" x14ac:dyDescent="0.3">
      <c r="N498" s="50"/>
      <c r="O498" s="50"/>
      <c r="P498" s="50"/>
      <c r="Q498" s="50"/>
      <c r="R498" s="50"/>
      <c r="S498" s="51"/>
      <c r="T498" s="50"/>
      <c r="U498" s="50"/>
      <c r="V498" s="73"/>
      <c r="W498" s="50"/>
      <c r="X498" s="50"/>
      <c r="AN498" s="50"/>
      <c r="AO498" s="50"/>
      <c r="AP498" s="50"/>
      <c r="AQ498" s="50"/>
      <c r="AR498" s="50"/>
      <c r="AS498" s="51"/>
      <c r="AT498" s="50"/>
      <c r="AU498" s="50"/>
      <c r="AV498" s="73"/>
      <c r="AW498" s="50"/>
      <c r="AX498" s="50"/>
    </row>
    <row r="499" spans="14:50" x14ac:dyDescent="0.3">
      <c r="N499" s="50"/>
      <c r="O499" s="50"/>
      <c r="P499" s="50"/>
      <c r="Q499" s="50"/>
      <c r="R499" s="50"/>
      <c r="S499" s="51"/>
      <c r="T499" s="50"/>
      <c r="U499" s="50"/>
      <c r="V499" s="73"/>
      <c r="W499" s="50"/>
      <c r="X499" s="50"/>
      <c r="AN499" s="50"/>
      <c r="AO499" s="50"/>
      <c r="AP499" s="50"/>
      <c r="AQ499" s="50"/>
      <c r="AR499" s="50"/>
      <c r="AS499" s="51"/>
      <c r="AT499" s="50"/>
      <c r="AU499" s="50"/>
      <c r="AV499" s="73"/>
      <c r="AW499" s="50"/>
      <c r="AX499" s="50"/>
    </row>
    <row r="500" spans="14:50" x14ac:dyDescent="0.3">
      <c r="N500" s="50"/>
      <c r="O500" s="50"/>
      <c r="P500" s="50"/>
      <c r="Q500" s="50"/>
      <c r="R500" s="50"/>
      <c r="S500" s="51"/>
      <c r="T500" s="50"/>
      <c r="U500" s="50"/>
      <c r="V500" s="73"/>
      <c r="W500" s="50"/>
      <c r="X500" s="50"/>
      <c r="AN500" s="50"/>
      <c r="AO500" s="50"/>
      <c r="AP500" s="50"/>
      <c r="AQ500" s="50"/>
      <c r="AR500" s="50"/>
      <c r="AS500" s="51"/>
      <c r="AT500" s="50"/>
      <c r="AU500" s="50"/>
      <c r="AV500" s="73"/>
      <c r="AW500" s="50"/>
      <c r="AX500" s="50"/>
    </row>
    <row r="501" spans="14:50" x14ac:dyDescent="0.3">
      <c r="N501" s="50"/>
      <c r="O501" s="50"/>
      <c r="P501" s="50"/>
      <c r="Q501" s="50"/>
      <c r="R501" s="50"/>
      <c r="S501" s="51"/>
      <c r="T501" s="50"/>
      <c r="U501" s="50"/>
      <c r="V501" s="73"/>
      <c r="W501" s="50"/>
      <c r="X501" s="50"/>
      <c r="AN501" s="50"/>
      <c r="AO501" s="50"/>
      <c r="AP501" s="50"/>
      <c r="AQ501" s="50"/>
      <c r="AR501" s="50"/>
      <c r="AS501" s="51"/>
      <c r="AT501" s="50"/>
      <c r="AU501" s="50"/>
      <c r="AV501" s="73"/>
      <c r="AW501" s="50"/>
      <c r="AX501" s="50"/>
    </row>
    <row r="502" spans="14:50" x14ac:dyDescent="0.3">
      <c r="N502" s="50"/>
      <c r="O502" s="50"/>
      <c r="P502" s="50"/>
      <c r="Q502" s="50"/>
      <c r="R502" s="50"/>
      <c r="S502" s="51"/>
      <c r="T502" s="50"/>
      <c r="U502" s="50"/>
      <c r="V502" s="73"/>
      <c r="W502" s="50"/>
      <c r="X502" s="50"/>
      <c r="AN502" s="50"/>
      <c r="AO502" s="50"/>
      <c r="AP502" s="50"/>
      <c r="AQ502" s="50"/>
      <c r="AR502" s="50"/>
      <c r="AS502" s="51"/>
      <c r="AT502" s="50"/>
      <c r="AU502" s="50"/>
      <c r="AV502" s="73"/>
      <c r="AW502" s="50"/>
      <c r="AX502" s="50"/>
    </row>
    <row r="503" spans="14:50" x14ac:dyDescent="0.3">
      <c r="N503" s="50"/>
      <c r="O503" s="50"/>
      <c r="P503" s="50"/>
      <c r="Q503" s="50"/>
      <c r="R503" s="50"/>
      <c r="S503" s="51"/>
      <c r="T503" s="50"/>
      <c r="U503" s="50"/>
      <c r="V503" s="73"/>
      <c r="W503" s="50"/>
      <c r="X503" s="50"/>
      <c r="AN503" s="50"/>
      <c r="AO503" s="50"/>
      <c r="AP503" s="50"/>
      <c r="AQ503" s="50"/>
      <c r="AR503" s="50"/>
      <c r="AS503" s="51"/>
      <c r="AT503" s="50"/>
      <c r="AU503" s="50"/>
      <c r="AV503" s="73"/>
      <c r="AW503" s="50"/>
      <c r="AX503" s="50"/>
    </row>
    <row r="504" spans="14:50" x14ac:dyDescent="0.3">
      <c r="N504" s="50"/>
      <c r="O504" s="50"/>
      <c r="P504" s="50"/>
      <c r="Q504" s="50"/>
      <c r="R504" s="50"/>
      <c r="S504" s="51"/>
      <c r="T504" s="50"/>
      <c r="U504" s="50"/>
      <c r="V504" s="73"/>
      <c r="W504" s="50"/>
      <c r="X504" s="50"/>
      <c r="AN504" s="50"/>
      <c r="AO504" s="50"/>
      <c r="AP504" s="50"/>
      <c r="AQ504" s="50"/>
      <c r="AR504" s="50"/>
      <c r="AS504" s="51"/>
      <c r="AT504" s="50"/>
      <c r="AU504" s="50"/>
      <c r="AV504" s="73"/>
      <c r="AW504" s="50"/>
      <c r="AX504" s="50"/>
    </row>
    <row r="505" spans="14:50" x14ac:dyDescent="0.3">
      <c r="N505" s="50"/>
      <c r="O505" s="50"/>
      <c r="P505" s="50"/>
      <c r="Q505" s="50"/>
      <c r="R505" s="50"/>
      <c r="S505" s="51"/>
      <c r="T505" s="50"/>
      <c r="U505" s="50"/>
      <c r="V505" s="73"/>
      <c r="W505" s="50"/>
      <c r="X505" s="50"/>
      <c r="AN505" s="50"/>
      <c r="AO505" s="50"/>
      <c r="AP505" s="50"/>
      <c r="AQ505" s="50"/>
      <c r="AR505" s="50"/>
      <c r="AS505" s="51"/>
      <c r="AT505" s="50"/>
      <c r="AU505" s="50"/>
      <c r="AV505" s="73"/>
      <c r="AW505" s="50"/>
      <c r="AX505" s="50"/>
    </row>
    <row r="506" spans="14:50" x14ac:dyDescent="0.3">
      <c r="N506" s="50"/>
      <c r="O506" s="50"/>
      <c r="P506" s="50"/>
      <c r="Q506" s="50"/>
      <c r="R506" s="50"/>
      <c r="S506" s="51"/>
      <c r="T506" s="50"/>
      <c r="U506" s="50"/>
      <c r="V506" s="73"/>
      <c r="W506" s="50"/>
      <c r="X506" s="50"/>
      <c r="AN506" s="50"/>
      <c r="AO506" s="50"/>
      <c r="AP506" s="50"/>
      <c r="AQ506" s="50"/>
      <c r="AR506" s="50"/>
      <c r="AS506" s="51"/>
      <c r="AT506" s="50"/>
      <c r="AU506" s="50"/>
      <c r="AV506" s="73"/>
      <c r="AW506" s="50"/>
      <c r="AX506" s="50"/>
    </row>
    <row r="507" spans="14:50" x14ac:dyDescent="0.3">
      <c r="N507" s="50"/>
      <c r="O507" s="50"/>
      <c r="P507" s="50"/>
      <c r="Q507" s="50"/>
      <c r="R507" s="50"/>
      <c r="S507" s="51"/>
      <c r="T507" s="50"/>
      <c r="U507" s="50"/>
      <c r="V507" s="73"/>
      <c r="W507" s="50"/>
      <c r="X507" s="50"/>
      <c r="AN507" s="50"/>
      <c r="AO507" s="50"/>
      <c r="AP507" s="50"/>
      <c r="AQ507" s="50"/>
      <c r="AR507" s="50"/>
      <c r="AS507" s="51"/>
      <c r="AT507" s="50"/>
      <c r="AU507" s="50"/>
      <c r="AV507" s="73"/>
      <c r="AW507" s="50"/>
      <c r="AX507" s="50"/>
    </row>
    <row r="508" spans="14:50" x14ac:dyDescent="0.3">
      <c r="N508" s="50"/>
      <c r="O508" s="50"/>
      <c r="P508" s="50"/>
      <c r="Q508" s="50"/>
      <c r="R508" s="50"/>
      <c r="S508" s="51"/>
      <c r="T508" s="50"/>
      <c r="U508" s="50"/>
      <c r="V508" s="73"/>
      <c r="W508" s="50"/>
      <c r="X508" s="50"/>
      <c r="AN508" s="50"/>
      <c r="AO508" s="50"/>
      <c r="AP508" s="50"/>
      <c r="AQ508" s="50"/>
      <c r="AR508" s="50"/>
      <c r="AS508" s="51"/>
      <c r="AT508" s="50"/>
      <c r="AU508" s="50"/>
      <c r="AV508" s="73"/>
      <c r="AW508" s="50"/>
      <c r="AX508" s="50"/>
    </row>
    <row r="509" spans="14:50" x14ac:dyDescent="0.3">
      <c r="N509" s="50"/>
      <c r="O509" s="50"/>
      <c r="P509" s="50"/>
      <c r="Q509" s="50"/>
      <c r="R509" s="50"/>
      <c r="S509" s="51"/>
      <c r="T509" s="50"/>
      <c r="U509" s="50"/>
      <c r="V509" s="73"/>
      <c r="W509" s="50"/>
      <c r="X509" s="50"/>
      <c r="AN509" s="50"/>
      <c r="AO509" s="50"/>
      <c r="AP509" s="50"/>
      <c r="AQ509" s="50"/>
      <c r="AR509" s="50"/>
      <c r="AS509" s="51"/>
      <c r="AT509" s="50"/>
      <c r="AU509" s="50"/>
      <c r="AV509" s="73"/>
      <c r="AW509" s="50"/>
      <c r="AX509" s="50"/>
    </row>
    <row r="510" spans="14:50" x14ac:dyDescent="0.3">
      <c r="N510" s="50"/>
      <c r="O510" s="50"/>
      <c r="P510" s="50"/>
      <c r="Q510" s="50"/>
      <c r="R510" s="50"/>
      <c r="S510" s="51"/>
      <c r="T510" s="50"/>
      <c r="U510" s="50"/>
      <c r="V510" s="73"/>
      <c r="W510" s="50"/>
      <c r="X510" s="50"/>
      <c r="AN510" s="50"/>
      <c r="AO510" s="50"/>
      <c r="AP510" s="50"/>
      <c r="AQ510" s="50"/>
      <c r="AR510" s="50"/>
      <c r="AS510" s="51"/>
      <c r="AT510" s="50"/>
      <c r="AU510" s="50"/>
      <c r="AV510" s="73"/>
      <c r="AW510" s="50"/>
      <c r="AX510" s="50"/>
    </row>
    <row r="511" spans="14:50" x14ac:dyDescent="0.3">
      <c r="N511" s="50"/>
      <c r="O511" s="50"/>
      <c r="P511" s="50"/>
      <c r="Q511" s="50"/>
      <c r="R511" s="50"/>
      <c r="S511" s="51"/>
      <c r="T511" s="50"/>
      <c r="U511" s="50"/>
      <c r="V511" s="73"/>
      <c r="W511" s="50"/>
      <c r="X511" s="50"/>
      <c r="AN511" s="50"/>
      <c r="AO511" s="50"/>
      <c r="AP511" s="50"/>
      <c r="AQ511" s="50"/>
      <c r="AR511" s="50"/>
      <c r="AS511" s="51"/>
      <c r="AT511" s="50"/>
      <c r="AU511" s="50"/>
      <c r="AV511" s="73"/>
      <c r="AW511" s="50"/>
      <c r="AX511" s="50"/>
    </row>
    <row r="512" spans="14:50" x14ac:dyDescent="0.3">
      <c r="N512" s="50"/>
      <c r="O512" s="50"/>
      <c r="P512" s="50"/>
      <c r="Q512" s="50"/>
      <c r="R512" s="50"/>
      <c r="S512" s="51"/>
      <c r="T512" s="50"/>
      <c r="U512" s="50"/>
      <c r="V512" s="73"/>
      <c r="W512" s="50"/>
      <c r="X512" s="50"/>
      <c r="AN512" s="50"/>
      <c r="AO512" s="50"/>
      <c r="AP512" s="50"/>
      <c r="AQ512" s="50"/>
      <c r="AR512" s="50"/>
      <c r="AS512" s="51"/>
      <c r="AT512" s="50"/>
      <c r="AU512" s="50"/>
      <c r="AV512" s="73"/>
      <c r="AW512" s="50"/>
      <c r="AX512" s="50"/>
    </row>
    <row r="513" spans="14:50" x14ac:dyDescent="0.3">
      <c r="N513" s="50"/>
      <c r="O513" s="50"/>
      <c r="P513" s="50"/>
      <c r="Q513" s="50"/>
      <c r="R513" s="50"/>
      <c r="S513" s="51"/>
      <c r="T513" s="50"/>
      <c r="U513" s="50"/>
      <c r="V513" s="73"/>
      <c r="W513" s="50"/>
      <c r="X513" s="50"/>
      <c r="AN513" s="50"/>
      <c r="AO513" s="50"/>
      <c r="AP513" s="50"/>
      <c r="AQ513" s="50"/>
      <c r="AR513" s="50"/>
      <c r="AS513" s="51"/>
      <c r="AT513" s="50"/>
      <c r="AU513" s="50"/>
      <c r="AV513" s="73"/>
      <c r="AW513" s="50"/>
      <c r="AX513" s="50"/>
    </row>
    <row r="514" spans="14:50" x14ac:dyDescent="0.3">
      <c r="N514" s="50"/>
      <c r="O514" s="50"/>
      <c r="P514" s="50"/>
      <c r="Q514" s="50"/>
      <c r="R514" s="50"/>
      <c r="S514" s="51"/>
      <c r="T514" s="50"/>
      <c r="U514" s="50"/>
      <c r="V514" s="73"/>
      <c r="W514" s="50"/>
      <c r="X514" s="50"/>
      <c r="AN514" s="50"/>
      <c r="AO514" s="50"/>
      <c r="AP514" s="50"/>
      <c r="AQ514" s="50"/>
      <c r="AR514" s="50"/>
      <c r="AS514" s="51"/>
      <c r="AT514" s="50"/>
      <c r="AU514" s="50"/>
      <c r="AV514" s="73"/>
      <c r="AW514" s="50"/>
      <c r="AX514" s="50"/>
    </row>
    <row r="515" spans="14:50" x14ac:dyDescent="0.3">
      <c r="N515" s="50"/>
      <c r="O515" s="50"/>
      <c r="P515" s="50"/>
      <c r="Q515" s="50"/>
      <c r="R515" s="50"/>
      <c r="S515" s="51"/>
      <c r="T515" s="50"/>
      <c r="U515" s="50"/>
      <c r="V515" s="73"/>
      <c r="W515" s="50"/>
      <c r="X515" s="50"/>
      <c r="AN515" s="50"/>
      <c r="AO515" s="50"/>
      <c r="AP515" s="50"/>
      <c r="AQ515" s="50"/>
      <c r="AR515" s="50"/>
      <c r="AS515" s="51"/>
      <c r="AT515" s="50"/>
      <c r="AU515" s="50"/>
      <c r="AV515" s="73"/>
      <c r="AW515" s="50"/>
      <c r="AX515" s="50"/>
    </row>
    <row r="516" spans="14:50" x14ac:dyDescent="0.3">
      <c r="N516" s="50"/>
      <c r="O516" s="50"/>
      <c r="P516" s="50"/>
      <c r="Q516" s="50"/>
      <c r="R516" s="50"/>
      <c r="S516" s="51"/>
      <c r="T516" s="50"/>
      <c r="U516" s="50"/>
      <c r="V516" s="73"/>
      <c r="W516" s="50"/>
      <c r="X516" s="50"/>
      <c r="AN516" s="50"/>
      <c r="AO516" s="50"/>
      <c r="AP516" s="50"/>
      <c r="AQ516" s="50"/>
      <c r="AR516" s="50"/>
      <c r="AS516" s="51"/>
      <c r="AT516" s="50"/>
      <c r="AU516" s="50"/>
      <c r="AV516" s="73"/>
      <c r="AW516" s="50"/>
      <c r="AX516" s="50"/>
    </row>
    <row r="517" spans="14:50" x14ac:dyDescent="0.3">
      <c r="N517" s="50"/>
      <c r="O517" s="50"/>
      <c r="P517" s="50"/>
      <c r="Q517" s="50"/>
      <c r="R517" s="50"/>
      <c r="S517" s="51"/>
      <c r="T517" s="50"/>
      <c r="U517" s="50"/>
      <c r="V517" s="73"/>
      <c r="W517" s="50"/>
      <c r="X517" s="50"/>
      <c r="AN517" s="50"/>
      <c r="AO517" s="50"/>
      <c r="AP517" s="50"/>
      <c r="AQ517" s="50"/>
      <c r="AR517" s="50"/>
      <c r="AS517" s="51"/>
      <c r="AT517" s="50"/>
      <c r="AU517" s="50"/>
      <c r="AV517" s="73"/>
      <c r="AW517" s="50"/>
      <c r="AX517" s="50"/>
    </row>
    <row r="518" spans="14:50" x14ac:dyDescent="0.3">
      <c r="N518" s="50"/>
      <c r="O518" s="50"/>
      <c r="P518" s="50"/>
      <c r="Q518" s="50"/>
      <c r="R518" s="50"/>
      <c r="S518" s="51"/>
      <c r="T518" s="50"/>
      <c r="U518" s="50"/>
      <c r="V518" s="73"/>
      <c r="W518" s="50"/>
      <c r="X518" s="50"/>
      <c r="AN518" s="50"/>
      <c r="AO518" s="50"/>
      <c r="AP518" s="50"/>
      <c r="AQ518" s="50"/>
      <c r="AR518" s="50"/>
      <c r="AS518" s="51"/>
      <c r="AT518" s="50"/>
      <c r="AU518" s="50"/>
      <c r="AV518" s="73"/>
      <c r="AW518" s="50"/>
      <c r="AX518" s="50"/>
    </row>
    <row r="519" spans="14:50" x14ac:dyDescent="0.3">
      <c r="N519" s="50"/>
      <c r="O519" s="50"/>
      <c r="P519" s="50"/>
      <c r="Q519" s="50"/>
      <c r="R519" s="50"/>
      <c r="S519" s="51"/>
      <c r="T519" s="50"/>
      <c r="U519" s="50"/>
      <c r="V519" s="73"/>
      <c r="W519" s="50"/>
      <c r="X519" s="50"/>
      <c r="AN519" s="50"/>
      <c r="AO519" s="50"/>
      <c r="AP519" s="50"/>
      <c r="AQ519" s="50"/>
      <c r="AR519" s="50"/>
      <c r="AS519" s="51"/>
      <c r="AT519" s="50"/>
      <c r="AU519" s="50"/>
      <c r="AV519" s="73"/>
      <c r="AW519" s="50"/>
      <c r="AX519" s="50"/>
    </row>
    <row r="520" spans="14:50" x14ac:dyDescent="0.3">
      <c r="N520" s="50"/>
      <c r="O520" s="50"/>
      <c r="P520" s="50"/>
      <c r="Q520" s="50"/>
      <c r="R520" s="50"/>
      <c r="S520" s="51"/>
      <c r="T520" s="50"/>
      <c r="U520" s="50"/>
      <c r="V520" s="73"/>
      <c r="W520" s="50"/>
      <c r="X520" s="50"/>
      <c r="AN520" s="50"/>
      <c r="AO520" s="50"/>
      <c r="AP520" s="50"/>
      <c r="AQ520" s="50"/>
      <c r="AR520" s="50"/>
      <c r="AS520" s="51"/>
      <c r="AT520" s="50"/>
      <c r="AU520" s="50"/>
      <c r="AV520" s="73"/>
      <c r="AW520" s="50"/>
      <c r="AX520" s="50"/>
    </row>
    <row r="521" spans="14:50" x14ac:dyDescent="0.3">
      <c r="N521" s="50"/>
      <c r="O521" s="50"/>
      <c r="P521" s="50"/>
      <c r="Q521" s="50"/>
      <c r="R521" s="50"/>
      <c r="S521" s="51"/>
      <c r="T521" s="50"/>
      <c r="U521" s="50"/>
      <c r="V521" s="73"/>
      <c r="W521" s="50"/>
      <c r="X521" s="50"/>
      <c r="AN521" s="50"/>
      <c r="AO521" s="50"/>
      <c r="AP521" s="50"/>
      <c r="AQ521" s="50"/>
      <c r="AR521" s="50"/>
      <c r="AS521" s="51"/>
      <c r="AT521" s="50"/>
      <c r="AU521" s="50"/>
      <c r="AV521" s="73"/>
      <c r="AW521" s="50"/>
      <c r="AX521" s="50"/>
    </row>
    <row r="522" spans="14:50" x14ac:dyDescent="0.3">
      <c r="N522" s="50"/>
      <c r="O522" s="50"/>
      <c r="P522" s="50"/>
      <c r="Q522" s="50"/>
      <c r="R522" s="50"/>
      <c r="S522" s="51"/>
      <c r="T522" s="50"/>
      <c r="U522" s="50"/>
      <c r="V522" s="73"/>
      <c r="W522" s="50"/>
      <c r="X522" s="50"/>
      <c r="AN522" s="50"/>
      <c r="AO522" s="50"/>
      <c r="AP522" s="50"/>
      <c r="AQ522" s="50"/>
      <c r="AR522" s="50"/>
      <c r="AS522" s="51"/>
      <c r="AT522" s="50"/>
      <c r="AU522" s="50"/>
      <c r="AV522" s="73"/>
      <c r="AW522" s="50"/>
      <c r="AX522" s="50"/>
    </row>
    <row r="523" spans="14:50" x14ac:dyDescent="0.3">
      <c r="N523" s="50"/>
      <c r="O523" s="50"/>
      <c r="P523" s="50"/>
      <c r="Q523" s="50"/>
      <c r="R523" s="50"/>
      <c r="S523" s="51"/>
      <c r="T523" s="50"/>
      <c r="U523" s="50"/>
      <c r="V523" s="73"/>
      <c r="W523" s="50"/>
      <c r="X523" s="50"/>
      <c r="AN523" s="50"/>
      <c r="AO523" s="50"/>
      <c r="AP523" s="50"/>
      <c r="AQ523" s="50"/>
      <c r="AR523" s="50"/>
      <c r="AS523" s="51"/>
      <c r="AT523" s="50"/>
      <c r="AU523" s="50"/>
      <c r="AV523" s="73"/>
      <c r="AW523" s="50"/>
      <c r="AX523" s="50"/>
    </row>
    <row r="524" spans="14:50" x14ac:dyDescent="0.3">
      <c r="N524" s="50"/>
      <c r="O524" s="50"/>
      <c r="P524" s="50"/>
      <c r="Q524" s="50"/>
      <c r="R524" s="50"/>
      <c r="S524" s="51"/>
      <c r="T524" s="50"/>
      <c r="U524" s="50"/>
      <c r="V524" s="73"/>
      <c r="W524" s="50"/>
      <c r="X524" s="50"/>
      <c r="AN524" s="50"/>
      <c r="AO524" s="50"/>
      <c r="AP524" s="50"/>
      <c r="AQ524" s="50"/>
      <c r="AR524" s="50"/>
      <c r="AS524" s="51"/>
      <c r="AT524" s="50"/>
      <c r="AU524" s="50"/>
      <c r="AV524" s="73"/>
      <c r="AW524" s="50"/>
      <c r="AX524" s="50"/>
    </row>
    <row r="525" spans="14:50" x14ac:dyDescent="0.3">
      <c r="N525" s="50"/>
      <c r="O525" s="50"/>
      <c r="P525" s="50"/>
      <c r="Q525" s="50"/>
      <c r="R525" s="50"/>
      <c r="S525" s="51"/>
      <c r="T525" s="50"/>
      <c r="U525" s="50"/>
      <c r="V525" s="73"/>
      <c r="W525" s="50"/>
      <c r="X525" s="50"/>
      <c r="AN525" s="50"/>
      <c r="AO525" s="50"/>
      <c r="AP525" s="50"/>
      <c r="AQ525" s="50"/>
      <c r="AR525" s="50"/>
      <c r="AS525" s="51"/>
      <c r="AT525" s="50"/>
      <c r="AU525" s="50"/>
      <c r="AV525" s="73"/>
      <c r="AW525" s="50"/>
      <c r="AX525" s="50"/>
    </row>
    <row r="526" spans="14:50" x14ac:dyDescent="0.3">
      <c r="N526" s="50"/>
      <c r="O526" s="50"/>
      <c r="P526" s="50"/>
      <c r="Q526" s="50"/>
      <c r="R526" s="50"/>
      <c r="S526" s="51"/>
      <c r="T526" s="50"/>
      <c r="U526" s="50"/>
      <c r="V526" s="73"/>
      <c r="W526" s="50"/>
      <c r="X526" s="50"/>
      <c r="AN526" s="50"/>
      <c r="AO526" s="50"/>
      <c r="AP526" s="50"/>
      <c r="AQ526" s="50"/>
      <c r="AR526" s="50"/>
      <c r="AS526" s="51"/>
      <c r="AT526" s="50"/>
      <c r="AU526" s="50"/>
      <c r="AV526" s="73"/>
      <c r="AW526" s="50"/>
      <c r="AX526" s="50"/>
    </row>
    <row r="527" spans="14:50" x14ac:dyDescent="0.3">
      <c r="N527" s="50"/>
      <c r="O527" s="50"/>
      <c r="P527" s="50"/>
      <c r="Q527" s="50"/>
      <c r="R527" s="50"/>
      <c r="S527" s="51"/>
      <c r="T527" s="50"/>
      <c r="U527" s="50"/>
      <c r="V527" s="73"/>
      <c r="W527" s="50"/>
      <c r="X527" s="50"/>
      <c r="AN527" s="50"/>
      <c r="AO527" s="50"/>
      <c r="AP527" s="50"/>
      <c r="AQ527" s="50"/>
      <c r="AR527" s="50"/>
      <c r="AS527" s="51"/>
      <c r="AT527" s="50"/>
      <c r="AU527" s="50"/>
      <c r="AV527" s="73"/>
      <c r="AW527" s="50"/>
      <c r="AX527" s="50"/>
    </row>
    <row r="528" spans="14:50" x14ac:dyDescent="0.3">
      <c r="N528" s="50"/>
      <c r="O528" s="50"/>
      <c r="P528" s="50"/>
      <c r="Q528" s="50"/>
      <c r="R528" s="50"/>
      <c r="S528" s="51"/>
      <c r="T528" s="50"/>
      <c r="U528" s="50"/>
      <c r="V528" s="73"/>
      <c r="W528" s="50"/>
      <c r="X528" s="50"/>
      <c r="AN528" s="50"/>
      <c r="AO528" s="50"/>
      <c r="AP528" s="50"/>
      <c r="AQ528" s="50"/>
      <c r="AR528" s="50"/>
      <c r="AS528" s="51"/>
      <c r="AT528" s="50"/>
      <c r="AU528" s="50"/>
      <c r="AV528" s="73"/>
      <c r="AW528" s="50"/>
      <c r="AX528" s="50"/>
    </row>
    <row r="529" spans="14:50" x14ac:dyDescent="0.3">
      <c r="N529" s="50"/>
      <c r="O529" s="50"/>
      <c r="P529" s="50"/>
      <c r="Q529" s="50"/>
      <c r="R529" s="50"/>
      <c r="S529" s="51"/>
      <c r="T529" s="50"/>
      <c r="U529" s="50"/>
      <c r="V529" s="73"/>
      <c r="W529" s="50"/>
      <c r="X529" s="50"/>
      <c r="AN529" s="50"/>
      <c r="AO529" s="50"/>
      <c r="AP529" s="50"/>
      <c r="AQ529" s="50"/>
      <c r="AR529" s="50"/>
      <c r="AS529" s="51"/>
      <c r="AT529" s="50"/>
      <c r="AU529" s="50"/>
      <c r="AV529" s="73"/>
      <c r="AW529" s="50"/>
      <c r="AX529" s="50"/>
    </row>
    <row r="530" spans="14:50" x14ac:dyDescent="0.3">
      <c r="N530" s="50"/>
      <c r="O530" s="50"/>
      <c r="P530" s="50"/>
      <c r="Q530" s="50"/>
      <c r="R530" s="50"/>
      <c r="S530" s="51"/>
      <c r="T530" s="50"/>
      <c r="U530" s="50"/>
      <c r="V530" s="73"/>
      <c r="W530" s="50"/>
      <c r="X530" s="50"/>
      <c r="AN530" s="50"/>
      <c r="AO530" s="50"/>
      <c r="AP530" s="50"/>
      <c r="AQ530" s="50"/>
      <c r="AR530" s="50"/>
      <c r="AS530" s="51"/>
      <c r="AT530" s="50"/>
      <c r="AU530" s="50"/>
      <c r="AV530" s="73"/>
      <c r="AW530" s="50"/>
      <c r="AX530" s="50"/>
    </row>
    <row r="531" spans="14:50" x14ac:dyDescent="0.3">
      <c r="N531" s="50"/>
      <c r="O531" s="50"/>
      <c r="P531" s="50"/>
      <c r="Q531" s="50"/>
      <c r="R531" s="50"/>
      <c r="S531" s="51"/>
      <c r="T531" s="50"/>
      <c r="U531" s="50"/>
      <c r="V531" s="73"/>
      <c r="W531" s="50"/>
      <c r="X531" s="50"/>
      <c r="AN531" s="50"/>
      <c r="AO531" s="50"/>
      <c r="AP531" s="50"/>
      <c r="AQ531" s="50"/>
      <c r="AR531" s="50"/>
      <c r="AS531" s="51"/>
      <c r="AT531" s="50"/>
      <c r="AU531" s="50"/>
      <c r="AV531" s="73"/>
      <c r="AW531" s="50"/>
      <c r="AX531" s="50"/>
    </row>
    <row r="532" spans="14:50" x14ac:dyDescent="0.3">
      <c r="N532" s="50"/>
      <c r="O532" s="50"/>
      <c r="P532" s="50"/>
      <c r="Q532" s="50"/>
      <c r="R532" s="50"/>
      <c r="S532" s="51"/>
      <c r="T532" s="50"/>
      <c r="U532" s="50"/>
      <c r="V532" s="73"/>
      <c r="W532" s="50"/>
      <c r="X532" s="50"/>
      <c r="AN532" s="50"/>
      <c r="AO532" s="50"/>
      <c r="AP532" s="50"/>
      <c r="AQ532" s="50"/>
      <c r="AR532" s="50"/>
      <c r="AS532" s="51"/>
      <c r="AT532" s="50"/>
      <c r="AU532" s="50"/>
      <c r="AV532" s="73"/>
      <c r="AW532" s="50"/>
      <c r="AX532" s="50"/>
    </row>
    <row r="533" spans="14:50" x14ac:dyDescent="0.3">
      <c r="N533" s="50"/>
      <c r="O533" s="50"/>
      <c r="P533" s="50"/>
      <c r="Q533" s="50"/>
      <c r="R533" s="50"/>
      <c r="S533" s="51"/>
      <c r="T533" s="50"/>
      <c r="U533" s="50"/>
      <c r="V533" s="73"/>
      <c r="W533" s="50"/>
      <c r="X533" s="50"/>
      <c r="AN533" s="50"/>
      <c r="AO533" s="50"/>
      <c r="AP533" s="50"/>
      <c r="AQ533" s="50"/>
      <c r="AR533" s="50"/>
      <c r="AS533" s="51"/>
      <c r="AT533" s="50"/>
      <c r="AU533" s="50"/>
      <c r="AV533" s="73"/>
      <c r="AW533" s="50"/>
      <c r="AX533" s="50"/>
    </row>
    <row r="534" spans="14:50" x14ac:dyDescent="0.3">
      <c r="N534" s="50"/>
      <c r="O534" s="50"/>
      <c r="P534" s="50"/>
      <c r="Q534" s="50"/>
      <c r="R534" s="50"/>
      <c r="S534" s="51"/>
      <c r="T534" s="50"/>
      <c r="U534" s="50"/>
      <c r="V534" s="73"/>
      <c r="W534" s="50"/>
      <c r="X534" s="50"/>
      <c r="AN534" s="50"/>
      <c r="AO534" s="50"/>
      <c r="AP534" s="50"/>
      <c r="AQ534" s="50"/>
      <c r="AR534" s="50"/>
      <c r="AS534" s="51"/>
      <c r="AT534" s="50"/>
      <c r="AU534" s="50"/>
      <c r="AV534" s="73"/>
      <c r="AW534" s="50"/>
      <c r="AX534" s="50"/>
    </row>
    <row r="535" spans="14:50" x14ac:dyDescent="0.3">
      <c r="N535" s="50"/>
      <c r="O535" s="50"/>
      <c r="P535" s="50"/>
      <c r="Q535" s="50"/>
      <c r="R535" s="50"/>
      <c r="S535" s="51"/>
      <c r="T535" s="50"/>
      <c r="U535" s="50"/>
      <c r="V535" s="73"/>
      <c r="W535" s="50"/>
      <c r="X535" s="50"/>
      <c r="AN535" s="50"/>
      <c r="AO535" s="50"/>
      <c r="AP535" s="50"/>
      <c r="AQ535" s="50"/>
      <c r="AR535" s="50"/>
      <c r="AS535" s="51"/>
      <c r="AT535" s="50"/>
      <c r="AU535" s="50"/>
      <c r="AV535" s="73"/>
      <c r="AW535" s="50"/>
      <c r="AX535" s="50"/>
    </row>
    <row r="536" spans="14:50" x14ac:dyDescent="0.3">
      <c r="N536" s="50"/>
      <c r="O536" s="50"/>
      <c r="P536" s="50"/>
      <c r="Q536" s="50"/>
      <c r="R536" s="50"/>
      <c r="S536" s="51"/>
      <c r="T536" s="50"/>
      <c r="U536" s="50"/>
      <c r="V536" s="73"/>
      <c r="W536" s="50"/>
      <c r="X536" s="50"/>
      <c r="AN536" s="50"/>
      <c r="AO536" s="50"/>
      <c r="AP536" s="50"/>
      <c r="AQ536" s="50"/>
      <c r="AR536" s="50"/>
      <c r="AS536" s="51"/>
      <c r="AT536" s="50"/>
      <c r="AU536" s="50"/>
      <c r="AV536" s="73"/>
      <c r="AW536" s="50"/>
      <c r="AX536" s="50"/>
    </row>
    <row r="537" spans="14:50" x14ac:dyDescent="0.3">
      <c r="N537" s="50"/>
      <c r="O537" s="50"/>
      <c r="P537" s="50"/>
      <c r="Q537" s="50"/>
      <c r="R537" s="50"/>
      <c r="S537" s="51"/>
      <c r="T537" s="50"/>
      <c r="U537" s="50"/>
      <c r="V537" s="73"/>
      <c r="W537" s="50"/>
      <c r="X537" s="50"/>
      <c r="AN537" s="50"/>
      <c r="AO537" s="50"/>
      <c r="AP537" s="50"/>
      <c r="AQ537" s="50"/>
      <c r="AR537" s="50"/>
      <c r="AS537" s="51"/>
      <c r="AT537" s="50"/>
      <c r="AU537" s="50"/>
      <c r="AV537" s="73"/>
      <c r="AW537" s="50"/>
      <c r="AX537" s="50"/>
    </row>
    <row r="538" spans="14:50" x14ac:dyDescent="0.3">
      <c r="N538" s="50"/>
      <c r="O538" s="50"/>
      <c r="P538" s="50"/>
      <c r="Q538" s="50"/>
      <c r="R538" s="50"/>
      <c r="S538" s="51"/>
      <c r="T538" s="50"/>
      <c r="U538" s="50"/>
      <c r="V538" s="73"/>
      <c r="W538" s="50"/>
      <c r="X538" s="50"/>
      <c r="AN538" s="50"/>
      <c r="AO538" s="50"/>
      <c r="AP538" s="50"/>
      <c r="AQ538" s="50"/>
      <c r="AR538" s="50"/>
      <c r="AS538" s="51"/>
      <c r="AT538" s="50"/>
      <c r="AU538" s="50"/>
      <c r="AV538" s="73"/>
      <c r="AW538" s="50"/>
      <c r="AX538" s="50"/>
    </row>
    <row r="539" spans="14:50" x14ac:dyDescent="0.3">
      <c r="N539" s="50"/>
      <c r="O539" s="50"/>
      <c r="P539" s="50"/>
      <c r="Q539" s="50"/>
      <c r="R539" s="50"/>
      <c r="S539" s="51"/>
      <c r="T539" s="50"/>
      <c r="U539" s="50"/>
      <c r="V539" s="73"/>
      <c r="W539" s="50"/>
      <c r="X539" s="50"/>
      <c r="AN539" s="50"/>
      <c r="AO539" s="50"/>
      <c r="AP539" s="50"/>
      <c r="AQ539" s="50"/>
      <c r="AR539" s="50"/>
      <c r="AS539" s="51"/>
      <c r="AT539" s="50"/>
      <c r="AU539" s="50"/>
      <c r="AV539" s="73"/>
      <c r="AW539" s="50"/>
      <c r="AX539" s="50"/>
    </row>
    <row r="540" spans="14:50" x14ac:dyDescent="0.3">
      <c r="N540" s="50"/>
      <c r="O540" s="50"/>
      <c r="P540" s="50"/>
      <c r="Q540" s="50"/>
      <c r="R540" s="50"/>
      <c r="S540" s="51"/>
      <c r="T540" s="50"/>
      <c r="U540" s="50"/>
      <c r="V540" s="73"/>
      <c r="W540" s="50"/>
      <c r="X540" s="50"/>
      <c r="AN540" s="50"/>
      <c r="AO540" s="50"/>
      <c r="AP540" s="50"/>
      <c r="AQ540" s="50"/>
      <c r="AR540" s="50"/>
      <c r="AS540" s="51"/>
      <c r="AT540" s="50"/>
      <c r="AU540" s="50"/>
      <c r="AV540" s="73"/>
      <c r="AW540" s="50"/>
      <c r="AX540" s="50"/>
    </row>
    <row r="541" spans="14:50" x14ac:dyDescent="0.3">
      <c r="N541" s="50"/>
      <c r="O541" s="50"/>
      <c r="P541" s="50"/>
      <c r="Q541" s="50"/>
      <c r="R541" s="50"/>
      <c r="S541" s="51"/>
      <c r="T541" s="50"/>
      <c r="U541" s="50"/>
      <c r="V541" s="73"/>
      <c r="W541" s="50"/>
      <c r="X541" s="50"/>
      <c r="AN541" s="50"/>
      <c r="AO541" s="50"/>
      <c r="AP541" s="50"/>
      <c r="AQ541" s="50"/>
      <c r="AR541" s="50"/>
      <c r="AS541" s="51"/>
      <c r="AT541" s="50"/>
      <c r="AU541" s="50"/>
      <c r="AV541" s="73"/>
      <c r="AW541" s="50"/>
      <c r="AX541" s="50"/>
    </row>
    <row r="542" spans="14:50" x14ac:dyDescent="0.3">
      <c r="N542" s="50"/>
      <c r="O542" s="50"/>
      <c r="P542" s="50"/>
      <c r="Q542" s="50"/>
      <c r="R542" s="50"/>
      <c r="S542" s="51"/>
      <c r="T542" s="50"/>
      <c r="U542" s="50"/>
      <c r="V542" s="73"/>
      <c r="W542" s="50"/>
      <c r="X542" s="50"/>
      <c r="AN542" s="50"/>
      <c r="AO542" s="50"/>
      <c r="AP542" s="50"/>
      <c r="AQ542" s="50"/>
      <c r="AR542" s="50"/>
      <c r="AS542" s="51"/>
      <c r="AT542" s="50"/>
      <c r="AU542" s="50"/>
      <c r="AV542" s="73"/>
      <c r="AW542" s="50"/>
      <c r="AX542" s="50"/>
    </row>
    <row r="543" spans="14:50" x14ac:dyDescent="0.3">
      <c r="N543" s="50"/>
      <c r="O543" s="50"/>
      <c r="P543" s="50"/>
      <c r="Q543" s="50"/>
      <c r="R543" s="50"/>
      <c r="S543" s="51"/>
      <c r="T543" s="50"/>
      <c r="U543" s="50"/>
      <c r="V543" s="73"/>
      <c r="W543" s="50"/>
      <c r="X543" s="50"/>
      <c r="AN543" s="50"/>
      <c r="AO543" s="50"/>
      <c r="AP543" s="50"/>
      <c r="AQ543" s="50"/>
      <c r="AR543" s="50"/>
      <c r="AS543" s="51"/>
      <c r="AT543" s="50"/>
      <c r="AU543" s="50"/>
      <c r="AV543" s="73"/>
      <c r="AW543" s="50"/>
      <c r="AX543" s="50"/>
    </row>
    <row r="544" spans="14:50" x14ac:dyDescent="0.3">
      <c r="N544" s="50"/>
      <c r="O544" s="50"/>
      <c r="P544" s="50"/>
      <c r="Q544" s="50"/>
      <c r="R544" s="50"/>
      <c r="S544" s="51"/>
      <c r="T544" s="50"/>
      <c r="U544" s="50"/>
      <c r="V544" s="73"/>
      <c r="W544" s="50"/>
      <c r="X544" s="50"/>
      <c r="AN544" s="50"/>
      <c r="AO544" s="50"/>
      <c r="AP544" s="50"/>
      <c r="AQ544" s="50"/>
      <c r="AR544" s="50"/>
      <c r="AS544" s="51"/>
      <c r="AT544" s="50"/>
      <c r="AU544" s="50"/>
      <c r="AV544" s="73"/>
      <c r="AW544" s="50"/>
      <c r="AX544" s="50"/>
    </row>
    <row r="545" spans="14:50" x14ac:dyDescent="0.3">
      <c r="N545" s="50"/>
      <c r="O545" s="50"/>
      <c r="P545" s="50"/>
      <c r="Q545" s="50"/>
      <c r="R545" s="50"/>
      <c r="S545" s="51"/>
      <c r="T545" s="50"/>
      <c r="U545" s="50"/>
      <c r="V545" s="73"/>
      <c r="W545" s="50"/>
      <c r="X545" s="50"/>
      <c r="AN545" s="50"/>
      <c r="AO545" s="50"/>
      <c r="AP545" s="50"/>
      <c r="AQ545" s="50"/>
      <c r="AR545" s="50"/>
      <c r="AS545" s="51"/>
      <c r="AT545" s="50"/>
      <c r="AU545" s="50"/>
      <c r="AV545" s="73"/>
      <c r="AW545" s="50"/>
      <c r="AX545" s="50"/>
    </row>
    <row r="546" spans="14:50" x14ac:dyDescent="0.3">
      <c r="N546" s="50"/>
      <c r="O546" s="50"/>
      <c r="P546" s="50"/>
      <c r="Q546" s="50"/>
      <c r="R546" s="50"/>
      <c r="S546" s="51"/>
      <c r="T546" s="50"/>
      <c r="U546" s="50"/>
      <c r="V546" s="73"/>
      <c r="W546" s="50"/>
      <c r="X546" s="50"/>
      <c r="AN546" s="50"/>
      <c r="AO546" s="50"/>
      <c r="AP546" s="50"/>
      <c r="AQ546" s="50"/>
      <c r="AR546" s="50"/>
      <c r="AS546" s="51"/>
      <c r="AT546" s="50"/>
      <c r="AU546" s="50"/>
      <c r="AV546" s="73"/>
      <c r="AW546" s="50"/>
      <c r="AX546" s="50"/>
    </row>
    <row r="547" spans="14:50" x14ac:dyDescent="0.3">
      <c r="N547" s="50"/>
      <c r="O547" s="50"/>
      <c r="P547" s="50"/>
      <c r="Q547" s="50"/>
      <c r="R547" s="50"/>
      <c r="S547" s="51"/>
      <c r="T547" s="50"/>
      <c r="U547" s="50"/>
      <c r="V547" s="73"/>
      <c r="W547" s="50"/>
      <c r="X547" s="50"/>
      <c r="AN547" s="50"/>
      <c r="AO547" s="50"/>
      <c r="AP547" s="50"/>
      <c r="AQ547" s="50"/>
      <c r="AR547" s="50"/>
      <c r="AS547" s="51"/>
      <c r="AT547" s="50"/>
      <c r="AU547" s="50"/>
      <c r="AV547" s="73"/>
      <c r="AW547" s="50"/>
      <c r="AX547" s="50"/>
    </row>
    <row r="548" spans="14:50" x14ac:dyDescent="0.3">
      <c r="N548" s="50"/>
      <c r="O548" s="50"/>
      <c r="P548" s="50"/>
      <c r="Q548" s="50"/>
      <c r="R548" s="50"/>
      <c r="S548" s="51"/>
      <c r="T548" s="50"/>
      <c r="U548" s="50"/>
      <c r="V548" s="73"/>
      <c r="W548" s="50"/>
      <c r="X548" s="50"/>
      <c r="AN548" s="50"/>
      <c r="AO548" s="50"/>
      <c r="AP548" s="50"/>
      <c r="AQ548" s="50"/>
      <c r="AR548" s="50"/>
      <c r="AS548" s="51"/>
      <c r="AT548" s="50"/>
      <c r="AU548" s="50"/>
      <c r="AV548" s="73"/>
      <c r="AW548" s="50"/>
      <c r="AX548" s="50"/>
    </row>
    <row r="549" spans="14:50" x14ac:dyDescent="0.3">
      <c r="N549" s="50"/>
      <c r="O549" s="50"/>
      <c r="P549" s="50"/>
      <c r="Q549" s="50"/>
      <c r="R549" s="50"/>
      <c r="S549" s="51"/>
      <c r="T549" s="50"/>
      <c r="U549" s="50"/>
      <c r="V549" s="73"/>
      <c r="W549" s="50"/>
      <c r="X549" s="50"/>
      <c r="AN549" s="50"/>
      <c r="AO549" s="50"/>
      <c r="AP549" s="50"/>
      <c r="AQ549" s="50"/>
      <c r="AR549" s="50"/>
      <c r="AS549" s="51"/>
      <c r="AT549" s="50"/>
      <c r="AU549" s="50"/>
      <c r="AV549" s="73"/>
      <c r="AW549" s="50"/>
      <c r="AX549" s="50"/>
    </row>
    <row r="550" spans="14:50" x14ac:dyDescent="0.3">
      <c r="N550" s="50"/>
      <c r="O550" s="50"/>
      <c r="P550" s="50"/>
      <c r="Q550" s="50"/>
      <c r="R550" s="50"/>
      <c r="S550" s="51"/>
      <c r="T550" s="50"/>
      <c r="U550" s="50"/>
      <c r="V550" s="73"/>
      <c r="W550" s="50"/>
      <c r="X550" s="50"/>
      <c r="AN550" s="50"/>
      <c r="AO550" s="50"/>
      <c r="AP550" s="50"/>
      <c r="AQ550" s="50"/>
      <c r="AR550" s="50"/>
      <c r="AS550" s="51"/>
      <c r="AT550" s="50"/>
      <c r="AU550" s="50"/>
      <c r="AV550" s="73"/>
      <c r="AW550" s="50"/>
      <c r="AX550" s="50"/>
    </row>
    <row r="551" spans="14:50" x14ac:dyDescent="0.3">
      <c r="N551" s="50"/>
      <c r="O551" s="50"/>
      <c r="P551" s="50"/>
      <c r="Q551" s="50"/>
      <c r="R551" s="50"/>
      <c r="S551" s="51"/>
      <c r="T551" s="50"/>
      <c r="U551" s="50"/>
      <c r="V551" s="73"/>
      <c r="W551" s="50"/>
      <c r="X551" s="50"/>
      <c r="AN551" s="50"/>
      <c r="AO551" s="50"/>
      <c r="AP551" s="50"/>
      <c r="AQ551" s="50"/>
      <c r="AR551" s="50"/>
      <c r="AS551" s="51"/>
      <c r="AT551" s="50"/>
      <c r="AU551" s="50"/>
      <c r="AV551" s="73"/>
      <c r="AW551" s="50"/>
      <c r="AX551" s="50"/>
    </row>
    <row r="552" spans="14:50" x14ac:dyDescent="0.3">
      <c r="N552" s="50"/>
      <c r="O552" s="50"/>
      <c r="P552" s="50"/>
      <c r="Q552" s="50"/>
      <c r="R552" s="50"/>
      <c r="S552" s="51"/>
      <c r="T552" s="50"/>
      <c r="U552" s="50"/>
      <c r="V552" s="73"/>
      <c r="W552" s="50"/>
      <c r="X552" s="50"/>
      <c r="AN552" s="50"/>
      <c r="AO552" s="50"/>
      <c r="AP552" s="50"/>
      <c r="AQ552" s="50"/>
      <c r="AR552" s="50"/>
      <c r="AS552" s="51"/>
      <c r="AT552" s="50"/>
      <c r="AU552" s="50"/>
      <c r="AV552" s="73"/>
      <c r="AW552" s="50"/>
      <c r="AX552" s="50"/>
    </row>
    <row r="553" spans="14:50" x14ac:dyDescent="0.3">
      <c r="N553" s="50"/>
      <c r="O553" s="50"/>
      <c r="P553" s="50"/>
      <c r="Q553" s="50"/>
      <c r="R553" s="50"/>
      <c r="S553" s="51"/>
      <c r="T553" s="50"/>
      <c r="U553" s="50"/>
      <c r="V553" s="73"/>
      <c r="W553" s="50"/>
      <c r="X553" s="50"/>
      <c r="AN553" s="50"/>
      <c r="AO553" s="50"/>
      <c r="AP553" s="50"/>
      <c r="AQ553" s="50"/>
      <c r="AR553" s="50"/>
      <c r="AS553" s="51"/>
      <c r="AT553" s="50"/>
      <c r="AU553" s="50"/>
      <c r="AV553" s="73"/>
      <c r="AW553" s="50"/>
      <c r="AX553" s="50"/>
    </row>
    <row r="554" spans="14:50" x14ac:dyDescent="0.3">
      <c r="N554" s="50"/>
      <c r="O554" s="50"/>
      <c r="P554" s="50"/>
      <c r="Q554" s="50"/>
      <c r="R554" s="50"/>
      <c r="S554" s="51"/>
      <c r="T554" s="50"/>
      <c r="U554" s="50"/>
      <c r="V554" s="73"/>
      <c r="W554" s="50"/>
      <c r="X554" s="50"/>
      <c r="AN554" s="50"/>
      <c r="AO554" s="50"/>
      <c r="AP554" s="50"/>
      <c r="AQ554" s="50"/>
      <c r="AR554" s="50"/>
      <c r="AS554" s="51"/>
      <c r="AT554" s="50"/>
      <c r="AU554" s="50"/>
      <c r="AV554" s="73"/>
      <c r="AW554" s="50"/>
      <c r="AX554" s="50"/>
    </row>
    <row r="555" spans="14:50" x14ac:dyDescent="0.3">
      <c r="N555" s="50"/>
      <c r="O555" s="50"/>
      <c r="P555" s="50"/>
      <c r="Q555" s="50"/>
      <c r="R555" s="50"/>
      <c r="S555" s="51"/>
      <c r="T555" s="50"/>
      <c r="U555" s="50"/>
      <c r="V555" s="73"/>
      <c r="W555" s="50"/>
      <c r="X555" s="50"/>
      <c r="AN555" s="50"/>
      <c r="AO555" s="50"/>
      <c r="AP555" s="50"/>
      <c r="AQ555" s="50"/>
      <c r="AR555" s="50"/>
      <c r="AS555" s="51"/>
      <c r="AT555" s="50"/>
      <c r="AU555" s="50"/>
      <c r="AV555" s="73"/>
      <c r="AW555" s="50"/>
      <c r="AX555" s="50"/>
    </row>
    <row r="556" spans="14:50" x14ac:dyDescent="0.3">
      <c r="N556" s="50"/>
      <c r="O556" s="50"/>
      <c r="P556" s="50"/>
      <c r="Q556" s="50"/>
      <c r="R556" s="50"/>
      <c r="S556" s="51"/>
      <c r="T556" s="50"/>
      <c r="U556" s="50"/>
      <c r="V556" s="73"/>
      <c r="W556" s="50"/>
      <c r="X556" s="50"/>
      <c r="AN556" s="50"/>
      <c r="AO556" s="50"/>
      <c r="AP556" s="50"/>
      <c r="AQ556" s="50"/>
      <c r="AR556" s="50"/>
      <c r="AS556" s="51"/>
      <c r="AT556" s="50"/>
      <c r="AU556" s="50"/>
      <c r="AV556" s="73"/>
      <c r="AW556" s="50"/>
      <c r="AX556" s="50"/>
    </row>
    <row r="557" spans="14:50" x14ac:dyDescent="0.3">
      <c r="N557" s="50"/>
      <c r="O557" s="50"/>
      <c r="P557" s="50"/>
      <c r="Q557" s="50"/>
      <c r="R557" s="50"/>
      <c r="S557" s="51"/>
      <c r="T557" s="50"/>
      <c r="U557" s="50"/>
      <c r="V557" s="73"/>
      <c r="W557" s="50"/>
      <c r="X557" s="50"/>
      <c r="AN557" s="50"/>
      <c r="AO557" s="50"/>
      <c r="AP557" s="50"/>
      <c r="AQ557" s="50"/>
      <c r="AR557" s="50"/>
      <c r="AS557" s="51"/>
      <c r="AT557" s="50"/>
      <c r="AU557" s="50"/>
      <c r="AV557" s="73"/>
      <c r="AW557" s="50"/>
      <c r="AX557" s="50"/>
    </row>
    <row r="558" spans="14:50" x14ac:dyDescent="0.3">
      <c r="N558" s="50"/>
      <c r="O558" s="50"/>
      <c r="P558" s="50"/>
      <c r="Q558" s="50"/>
      <c r="R558" s="50"/>
      <c r="S558" s="51"/>
      <c r="T558" s="50"/>
      <c r="U558" s="50"/>
      <c r="V558" s="73"/>
      <c r="W558" s="50"/>
      <c r="X558" s="50"/>
      <c r="AN558" s="50"/>
      <c r="AO558" s="50"/>
      <c r="AP558" s="50"/>
      <c r="AQ558" s="50"/>
      <c r="AR558" s="50"/>
      <c r="AS558" s="51"/>
      <c r="AT558" s="50"/>
      <c r="AU558" s="50"/>
      <c r="AV558" s="73"/>
      <c r="AW558" s="50"/>
      <c r="AX558" s="50"/>
    </row>
    <row r="559" spans="14:50" x14ac:dyDescent="0.3">
      <c r="N559" s="50"/>
      <c r="O559" s="50"/>
      <c r="P559" s="50"/>
      <c r="Q559" s="50"/>
      <c r="R559" s="50"/>
      <c r="S559" s="51"/>
      <c r="T559" s="50"/>
      <c r="U559" s="50"/>
      <c r="V559" s="73"/>
      <c r="W559" s="50"/>
      <c r="X559" s="50"/>
      <c r="AN559" s="50"/>
      <c r="AO559" s="50"/>
      <c r="AP559" s="50"/>
      <c r="AQ559" s="50"/>
      <c r="AR559" s="50"/>
      <c r="AS559" s="51"/>
      <c r="AT559" s="50"/>
      <c r="AU559" s="50"/>
      <c r="AV559" s="73"/>
      <c r="AW559" s="50"/>
      <c r="AX559" s="50"/>
    </row>
    <row r="560" spans="14:50" x14ac:dyDescent="0.3">
      <c r="N560" s="50"/>
      <c r="O560" s="50"/>
      <c r="P560" s="50"/>
      <c r="Q560" s="50"/>
      <c r="R560" s="50"/>
      <c r="S560" s="51"/>
      <c r="T560" s="50"/>
      <c r="U560" s="50"/>
      <c r="V560" s="73"/>
      <c r="W560" s="50"/>
      <c r="X560" s="50"/>
      <c r="AN560" s="50"/>
      <c r="AO560" s="50"/>
      <c r="AP560" s="50"/>
      <c r="AQ560" s="50"/>
      <c r="AR560" s="50"/>
      <c r="AS560" s="51"/>
      <c r="AT560" s="50"/>
      <c r="AU560" s="50"/>
      <c r="AV560" s="73"/>
      <c r="AW560" s="50"/>
      <c r="AX560" s="50"/>
    </row>
    <row r="561" spans="14:50" x14ac:dyDescent="0.3">
      <c r="N561" s="50"/>
      <c r="O561" s="50"/>
      <c r="P561" s="50"/>
      <c r="Q561" s="50"/>
      <c r="R561" s="50"/>
      <c r="S561" s="51"/>
      <c r="T561" s="50"/>
      <c r="U561" s="50"/>
      <c r="V561" s="73"/>
      <c r="W561" s="50"/>
      <c r="X561" s="50"/>
      <c r="AN561" s="50"/>
      <c r="AO561" s="50"/>
      <c r="AP561" s="50"/>
      <c r="AQ561" s="50"/>
      <c r="AR561" s="50"/>
      <c r="AS561" s="51"/>
      <c r="AT561" s="50"/>
      <c r="AU561" s="50"/>
      <c r="AV561" s="73"/>
      <c r="AW561" s="50"/>
      <c r="AX561" s="50"/>
    </row>
    <row r="562" spans="14:50" x14ac:dyDescent="0.3">
      <c r="N562" s="50"/>
      <c r="O562" s="50"/>
      <c r="P562" s="50"/>
      <c r="Q562" s="50"/>
      <c r="R562" s="50"/>
      <c r="S562" s="51"/>
      <c r="T562" s="50"/>
      <c r="U562" s="50"/>
      <c r="V562" s="73"/>
      <c r="W562" s="50"/>
      <c r="X562" s="50"/>
      <c r="AN562" s="50"/>
      <c r="AO562" s="50"/>
      <c r="AP562" s="50"/>
      <c r="AQ562" s="50"/>
      <c r="AR562" s="50"/>
      <c r="AS562" s="51"/>
      <c r="AT562" s="50"/>
      <c r="AU562" s="50"/>
      <c r="AV562" s="73"/>
      <c r="AW562" s="50"/>
      <c r="AX562" s="50"/>
    </row>
    <row r="563" spans="14:50" x14ac:dyDescent="0.3">
      <c r="N563" s="50"/>
      <c r="O563" s="50"/>
      <c r="P563" s="50"/>
      <c r="Q563" s="50"/>
      <c r="R563" s="50"/>
      <c r="S563" s="51"/>
      <c r="T563" s="50"/>
      <c r="U563" s="50"/>
      <c r="V563" s="73"/>
      <c r="W563" s="50"/>
      <c r="X563" s="50"/>
      <c r="AN563" s="50"/>
      <c r="AO563" s="50"/>
      <c r="AP563" s="50"/>
      <c r="AQ563" s="50"/>
      <c r="AR563" s="50"/>
      <c r="AS563" s="51"/>
      <c r="AT563" s="50"/>
      <c r="AU563" s="50"/>
      <c r="AV563" s="73"/>
      <c r="AW563" s="50"/>
      <c r="AX563" s="50"/>
    </row>
    <row r="564" spans="14:50" x14ac:dyDescent="0.3">
      <c r="N564" s="50"/>
      <c r="O564" s="50"/>
      <c r="P564" s="50"/>
      <c r="Q564" s="50"/>
      <c r="R564" s="50"/>
      <c r="S564" s="51"/>
      <c r="T564" s="50"/>
      <c r="U564" s="50"/>
      <c r="V564" s="73"/>
      <c r="W564" s="50"/>
      <c r="X564" s="50"/>
      <c r="AN564" s="50"/>
      <c r="AO564" s="50"/>
      <c r="AP564" s="50"/>
      <c r="AQ564" s="50"/>
      <c r="AR564" s="50"/>
      <c r="AS564" s="51"/>
      <c r="AT564" s="50"/>
      <c r="AU564" s="50"/>
      <c r="AV564" s="73"/>
      <c r="AW564" s="50"/>
      <c r="AX564" s="50"/>
    </row>
    <row r="565" spans="14:50" x14ac:dyDescent="0.3">
      <c r="N565" s="50"/>
      <c r="O565" s="50"/>
      <c r="P565" s="50"/>
      <c r="Q565" s="50"/>
      <c r="R565" s="50"/>
      <c r="S565" s="51"/>
      <c r="T565" s="50"/>
      <c r="U565" s="50"/>
      <c r="V565" s="73"/>
      <c r="W565" s="50"/>
      <c r="X565" s="50"/>
      <c r="AN565" s="50"/>
      <c r="AO565" s="50"/>
      <c r="AP565" s="50"/>
      <c r="AQ565" s="50"/>
      <c r="AR565" s="50"/>
      <c r="AS565" s="51"/>
      <c r="AT565" s="50"/>
      <c r="AU565" s="50"/>
      <c r="AV565" s="73"/>
      <c r="AW565" s="50"/>
      <c r="AX565" s="50"/>
    </row>
    <row r="566" spans="14:50" x14ac:dyDescent="0.3">
      <c r="N566" s="50"/>
      <c r="O566" s="50"/>
      <c r="P566" s="50"/>
      <c r="Q566" s="50"/>
      <c r="R566" s="50"/>
      <c r="S566" s="51"/>
      <c r="T566" s="50"/>
      <c r="U566" s="50"/>
      <c r="V566" s="73"/>
      <c r="W566" s="50"/>
      <c r="X566" s="50"/>
      <c r="AN566" s="50"/>
      <c r="AO566" s="50"/>
      <c r="AP566" s="50"/>
      <c r="AQ566" s="50"/>
      <c r="AR566" s="50"/>
      <c r="AS566" s="51"/>
      <c r="AT566" s="50"/>
      <c r="AU566" s="50"/>
      <c r="AV566" s="73"/>
      <c r="AW566" s="50"/>
      <c r="AX566" s="50"/>
    </row>
    <row r="567" spans="14:50" x14ac:dyDescent="0.3">
      <c r="N567" s="50"/>
      <c r="O567" s="50"/>
      <c r="P567" s="50"/>
      <c r="Q567" s="50"/>
      <c r="R567" s="50"/>
      <c r="S567" s="51"/>
      <c r="T567" s="50"/>
      <c r="U567" s="50"/>
      <c r="V567" s="73"/>
      <c r="W567" s="50"/>
      <c r="X567" s="50"/>
      <c r="AN567" s="50"/>
      <c r="AO567" s="50"/>
      <c r="AP567" s="50"/>
      <c r="AQ567" s="50"/>
      <c r="AR567" s="50"/>
      <c r="AS567" s="51"/>
      <c r="AT567" s="50"/>
      <c r="AU567" s="50"/>
      <c r="AV567" s="73"/>
      <c r="AW567" s="50"/>
      <c r="AX567" s="50"/>
    </row>
    <row r="568" spans="14:50" x14ac:dyDescent="0.3">
      <c r="N568" s="50"/>
      <c r="O568" s="50"/>
      <c r="P568" s="50"/>
      <c r="Q568" s="50"/>
      <c r="R568" s="50"/>
      <c r="S568" s="51"/>
      <c r="T568" s="50"/>
      <c r="U568" s="50"/>
      <c r="V568" s="73"/>
      <c r="W568" s="50"/>
      <c r="X568" s="50"/>
      <c r="AN568" s="50"/>
      <c r="AO568" s="50"/>
      <c r="AP568" s="50"/>
      <c r="AQ568" s="50"/>
      <c r="AR568" s="50"/>
      <c r="AS568" s="51"/>
      <c r="AT568" s="50"/>
      <c r="AU568" s="50"/>
      <c r="AV568" s="73"/>
      <c r="AW568" s="50"/>
      <c r="AX568" s="50"/>
    </row>
    <row r="569" spans="14:50" x14ac:dyDescent="0.3">
      <c r="N569" s="50"/>
      <c r="O569" s="50"/>
      <c r="P569" s="50"/>
      <c r="Q569" s="50"/>
      <c r="R569" s="50"/>
      <c r="S569" s="51"/>
      <c r="T569" s="50"/>
      <c r="U569" s="50"/>
      <c r="V569" s="73"/>
      <c r="W569" s="50"/>
      <c r="X569" s="50"/>
      <c r="AN569" s="50"/>
      <c r="AO569" s="50"/>
      <c r="AP569" s="50"/>
      <c r="AQ569" s="50"/>
      <c r="AR569" s="50"/>
      <c r="AS569" s="51"/>
      <c r="AT569" s="50"/>
      <c r="AU569" s="50"/>
      <c r="AV569" s="73"/>
      <c r="AW569" s="50"/>
      <c r="AX569" s="50"/>
    </row>
    <row r="570" spans="14:50" x14ac:dyDescent="0.3">
      <c r="N570" s="50"/>
      <c r="O570" s="50"/>
      <c r="P570" s="50"/>
      <c r="Q570" s="50"/>
      <c r="R570" s="50"/>
      <c r="S570" s="51"/>
      <c r="T570" s="50"/>
      <c r="U570" s="50"/>
      <c r="V570" s="73"/>
      <c r="W570" s="50"/>
      <c r="X570" s="50"/>
      <c r="AN570" s="50"/>
      <c r="AO570" s="50"/>
      <c r="AP570" s="50"/>
      <c r="AQ570" s="50"/>
      <c r="AR570" s="50"/>
      <c r="AS570" s="51"/>
      <c r="AT570" s="50"/>
      <c r="AU570" s="50"/>
      <c r="AV570" s="73"/>
      <c r="AW570" s="50"/>
      <c r="AX570" s="50"/>
    </row>
    <row r="571" spans="14:50" x14ac:dyDescent="0.3">
      <c r="N571" s="50"/>
      <c r="O571" s="50"/>
      <c r="P571" s="50"/>
      <c r="Q571" s="50"/>
      <c r="R571" s="50"/>
      <c r="S571" s="51"/>
      <c r="T571" s="50"/>
      <c r="U571" s="50"/>
      <c r="V571" s="73"/>
      <c r="W571" s="50"/>
      <c r="X571" s="50"/>
      <c r="AN571" s="50"/>
      <c r="AO571" s="50"/>
      <c r="AP571" s="50"/>
      <c r="AQ571" s="50"/>
      <c r="AR571" s="50"/>
      <c r="AS571" s="51"/>
      <c r="AT571" s="50"/>
      <c r="AU571" s="50"/>
      <c r="AV571" s="73"/>
      <c r="AW571" s="50"/>
      <c r="AX571" s="50"/>
    </row>
    <row r="572" spans="14:50" x14ac:dyDescent="0.3">
      <c r="N572" s="50"/>
      <c r="O572" s="50"/>
      <c r="P572" s="50"/>
      <c r="Q572" s="50"/>
      <c r="R572" s="50"/>
      <c r="S572" s="51"/>
      <c r="T572" s="50"/>
      <c r="U572" s="50"/>
      <c r="V572" s="73"/>
      <c r="W572" s="50"/>
      <c r="X572" s="50"/>
      <c r="AN572" s="50"/>
      <c r="AO572" s="50"/>
      <c r="AP572" s="50"/>
      <c r="AQ572" s="50"/>
      <c r="AR572" s="50"/>
      <c r="AS572" s="51"/>
      <c r="AT572" s="50"/>
      <c r="AU572" s="50"/>
      <c r="AV572" s="73"/>
      <c r="AW572" s="50"/>
      <c r="AX572" s="50"/>
    </row>
    <row r="573" spans="14:50" x14ac:dyDescent="0.3">
      <c r="N573" s="50"/>
      <c r="O573" s="50"/>
      <c r="P573" s="50"/>
      <c r="Q573" s="50"/>
      <c r="R573" s="50"/>
      <c r="S573" s="51"/>
      <c r="T573" s="50"/>
      <c r="U573" s="50"/>
      <c r="V573" s="73"/>
      <c r="W573" s="50"/>
      <c r="X573" s="50"/>
      <c r="AN573" s="50"/>
      <c r="AO573" s="50"/>
      <c r="AP573" s="50"/>
      <c r="AQ573" s="50"/>
      <c r="AR573" s="50"/>
      <c r="AS573" s="51"/>
      <c r="AT573" s="50"/>
      <c r="AU573" s="50"/>
      <c r="AV573" s="73"/>
      <c r="AW573" s="50"/>
      <c r="AX573" s="50"/>
    </row>
    <row r="574" spans="14:50" x14ac:dyDescent="0.3">
      <c r="N574" s="50"/>
      <c r="O574" s="50"/>
      <c r="P574" s="50"/>
      <c r="Q574" s="50"/>
      <c r="R574" s="50"/>
      <c r="S574" s="51"/>
      <c r="T574" s="50"/>
      <c r="U574" s="50"/>
      <c r="V574" s="73"/>
      <c r="W574" s="50"/>
      <c r="X574" s="50"/>
      <c r="AN574" s="50"/>
      <c r="AO574" s="50"/>
      <c r="AP574" s="50"/>
      <c r="AQ574" s="50"/>
      <c r="AR574" s="50"/>
      <c r="AS574" s="51"/>
      <c r="AT574" s="50"/>
      <c r="AU574" s="50"/>
      <c r="AV574" s="73"/>
      <c r="AW574" s="50"/>
      <c r="AX574" s="50"/>
    </row>
    <row r="575" spans="14:50" x14ac:dyDescent="0.3">
      <c r="N575" s="50"/>
      <c r="O575" s="50"/>
      <c r="P575" s="50"/>
      <c r="Q575" s="50"/>
      <c r="R575" s="50"/>
      <c r="S575" s="51"/>
      <c r="T575" s="50"/>
      <c r="U575" s="50"/>
      <c r="V575" s="73"/>
      <c r="W575" s="50"/>
      <c r="X575" s="50"/>
      <c r="AN575" s="50"/>
      <c r="AO575" s="50"/>
      <c r="AP575" s="50"/>
      <c r="AQ575" s="50"/>
      <c r="AR575" s="50"/>
      <c r="AS575" s="51"/>
      <c r="AT575" s="50"/>
      <c r="AU575" s="50"/>
      <c r="AV575" s="73"/>
      <c r="AW575" s="50"/>
      <c r="AX575" s="50"/>
    </row>
    <row r="576" spans="14:50" x14ac:dyDescent="0.3">
      <c r="N576" s="50"/>
      <c r="O576" s="50"/>
      <c r="P576" s="50"/>
      <c r="Q576" s="50"/>
      <c r="R576" s="50"/>
      <c r="S576" s="51"/>
      <c r="T576" s="50"/>
      <c r="U576" s="50"/>
      <c r="V576" s="73"/>
      <c r="W576" s="50"/>
      <c r="X576" s="50"/>
      <c r="AN576" s="50"/>
      <c r="AO576" s="50"/>
      <c r="AP576" s="50"/>
      <c r="AQ576" s="50"/>
      <c r="AR576" s="50"/>
      <c r="AS576" s="51"/>
      <c r="AT576" s="50"/>
      <c r="AU576" s="50"/>
      <c r="AV576" s="73"/>
      <c r="AW576" s="50"/>
      <c r="AX576" s="50"/>
    </row>
    <row r="577" spans="14:50" x14ac:dyDescent="0.3">
      <c r="N577" s="50"/>
      <c r="O577" s="50"/>
      <c r="P577" s="50"/>
      <c r="Q577" s="50"/>
      <c r="R577" s="50"/>
      <c r="S577" s="51"/>
      <c r="T577" s="50"/>
      <c r="U577" s="50"/>
      <c r="V577" s="73"/>
      <c r="W577" s="50"/>
      <c r="X577" s="50"/>
      <c r="AN577" s="50"/>
      <c r="AO577" s="50"/>
      <c r="AP577" s="50"/>
      <c r="AQ577" s="50"/>
      <c r="AR577" s="50"/>
      <c r="AS577" s="51"/>
      <c r="AT577" s="50"/>
      <c r="AU577" s="50"/>
      <c r="AV577" s="73"/>
      <c r="AW577" s="50"/>
      <c r="AX577" s="50"/>
    </row>
    <row r="578" spans="14:50" x14ac:dyDescent="0.3">
      <c r="N578" s="50"/>
      <c r="O578" s="50"/>
      <c r="P578" s="50"/>
      <c r="Q578" s="50"/>
      <c r="R578" s="50"/>
      <c r="S578" s="51"/>
      <c r="T578" s="50"/>
      <c r="U578" s="50"/>
      <c r="V578" s="73"/>
      <c r="W578" s="50"/>
      <c r="X578" s="50"/>
      <c r="AN578" s="50"/>
      <c r="AO578" s="50"/>
      <c r="AP578" s="50"/>
      <c r="AQ578" s="50"/>
      <c r="AR578" s="50"/>
      <c r="AS578" s="51"/>
      <c r="AT578" s="50"/>
      <c r="AU578" s="50"/>
      <c r="AV578" s="73"/>
      <c r="AW578" s="50"/>
      <c r="AX578" s="50"/>
    </row>
    <row r="579" spans="14:50" x14ac:dyDescent="0.3">
      <c r="N579" s="50"/>
      <c r="O579" s="50"/>
      <c r="P579" s="50"/>
      <c r="Q579" s="50"/>
      <c r="R579" s="50"/>
      <c r="S579" s="51"/>
      <c r="T579" s="50"/>
      <c r="U579" s="50"/>
      <c r="V579" s="73"/>
      <c r="W579" s="50"/>
      <c r="X579" s="50"/>
      <c r="AN579" s="50"/>
      <c r="AO579" s="50"/>
      <c r="AP579" s="50"/>
      <c r="AQ579" s="50"/>
      <c r="AR579" s="50"/>
      <c r="AS579" s="51"/>
      <c r="AT579" s="50"/>
      <c r="AU579" s="50"/>
      <c r="AV579" s="73"/>
      <c r="AW579" s="50"/>
      <c r="AX579" s="50"/>
    </row>
    <row r="580" spans="14:50" x14ac:dyDescent="0.3">
      <c r="N580" s="50"/>
      <c r="O580" s="50"/>
      <c r="P580" s="50"/>
      <c r="Q580" s="50"/>
      <c r="R580" s="50"/>
      <c r="S580" s="51"/>
      <c r="T580" s="50"/>
      <c r="U580" s="50"/>
      <c r="V580" s="73"/>
      <c r="W580" s="50"/>
      <c r="X580" s="50"/>
      <c r="AN580" s="50"/>
      <c r="AO580" s="50"/>
      <c r="AP580" s="50"/>
      <c r="AQ580" s="50"/>
      <c r="AR580" s="50"/>
      <c r="AS580" s="51"/>
      <c r="AT580" s="50"/>
      <c r="AU580" s="50"/>
      <c r="AV580" s="73"/>
      <c r="AW580" s="50"/>
      <c r="AX580" s="50"/>
    </row>
    <row r="581" spans="14:50" x14ac:dyDescent="0.3">
      <c r="N581" s="50"/>
      <c r="O581" s="50"/>
      <c r="P581" s="50"/>
      <c r="Q581" s="50"/>
      <c r="R581" s="50"/>
      <c r="S581" s="51"/>
      <c r="T581" s="50"/>
      <c r="U581" s="50"/>
      <c r="V581" s="73"/>
      <c r="W581" s="50"/>
      <c r="X581" s="50"/>
      <c r="AN581" s="50"/>
      <c r="AO581" s="50"/>
      <c r="AP581" s="50"/>
      <c r="AQ581" s="50"/>
      <c r="AR581" s="50"/>
      <c r="AS581" s="51"/>
      <c r="AT581" s="50"/>
      <c r="AU581" s="50"/>
      <c r="AV581" s="73"/>
      <c r="AW581" s="50"/>
      <c r="AX581" s="50"/>
    </row>
    <row r="582" spans="14:50" x14ac:dyDescent="0.3">
      <c r="N582" s="50"/>
      <c r="O582" s="50"/>
      <c r="P582" s="50"/>
      <c r="Q582" s="50"/>
      <c r="R582" s="50"/>
      <c r="S582" s="51"/>
      <c r="T582" s="50"/>
      <c r="U582" s="50"/>
      <c r="V582" s="73"/>
      <c r="W582" s="50"/>
      <c r="X582" s="50"/>
      <c r="AN582" s="50"/>
      <c r="AO582" s="50"/>
      <c r="AP582" s="50"/>
      <c r="AQ582" s="50"/>
      <c r="AR582" s="50"/>
      <c r="AS582" s="51"/>
      <c r="AT582" s="50"/>
      <c r="AU582" s="50"/>
      <c r="AV582" s="73"/>
      <c r="AW582" s="50"/>
      <c r="AX582" s="50"/>
    </row>
    <row r="583" spans="14:50" x14ac:dyDescent="0.3">
      <c r="N583" s="50"/>
      <c r="O583" s="50"/>
      <c r="P583" s="50"/>
      <c r="Q583" s="50"/>
      <c r="R583" s="50"/>
      <c r="S583" s="51"/>
      <c r="T583" s="50"/>
      <c r="U583" s="50"/>
      <c r="V583" s="73"/>
      <c r="W583" s="50"/>
      <c r="X583" s="50"/>
      <c r="AN583" s="50"/>
      <c r="AO583" s="50"/>
      <c r="AP583" s="50"/>
      <c r="AQ583" s="50"/>
      <c r="AR583" s="50"/>
      <c r="AS583" s="51"/>
      <c r="AT583" s="50"/>
      <c r="AU583" s="50"/>
      <c r="AV583" s="73"/>
      <c r="AW583" s="50"/>
      <c r="AX583" s="50"/>
    </row>
    <row r="584" spans="14:50" x14ac:dyDescent="0.3">
      <c r="N584" s="50"/>
      <c r="O584" s="50"/>
      <c r="P584" s="50"/>
      <c r="Q584" s="50"/>
      <c r="R584" s="50"/>
      <c r="S584" s="51"/>
      <c r="T584" s="50"/>
      <c r="U584" s="50"/>
      <c r="V584" s="73"/>
      <c r="W584" s="50"/>
      <c r="X584" s="50"/>
      <c r="AN584" s="50"/>
      <c r="AO584" s="50"/>
      <c r="AP584" s="50"/>
      <c r="AQ584" s="50"/>
      <c r="AR584" s="50"/>
      <c r="AS584" s="51"/>
      <c r="AT584" s="50"/>
      <c r="AU584" s="50"/>
      <c r="AV584" s="73"/>
      <c r="AW584" s="50"/>
      <c r="AX584" s="50"/>
    </row>
    <row r="585" spans="14:50" x14ac:dyDescent="0.3">
      <c r="N585" s="50"/>
      <c r="O585" s="50"/>
      <c r="P585" s="50"/>
      <c r="Q585" s="50"/>
      <c r="R585" s="50"/>
      <c r="S585" s="51"/>
      <c r="T585" s="50"/>
      <c r="U585" s="50"/>
      <c r="V585" s="73"/>
      <c r="W585" s="50"/>
      <c r="X585" s="50"/>
      <c r="AN585" s="50"/>
      <c r="AO585" s="50"/>
      <c r="AP585" s="50"/>
      <c r="AQ585" s="50"/>
      <c r="AR585" s="50"/>
      <c r="AS585" s="51"/>
      <c r="AT585" s="50"/>
      <c r="AU585" s="50"/>
      <c r="AV585" s="73"/>
      <c r="AW585" s="50"/>
      <c r="AX585" s="50"/>
    </row>
    <row r="586" spans="14:50" x14ac:dyDescent="0.3">
      <c r="N586" s="50"/>
      <c r="O586" s="50"/>
      <c r="P586" s="50"/>
      <c r="Q586" s="50"/>
      <c r="R586" s="50"/>
      <c r="S586" s="51"/>
      <c r="T586" s="50"/>
      <c r="U586" s="50"/>
      <c r="V586" s="73"/>
      <c r="W586" s="50"/>
      <c r="X586" s="50"/>
      <c r="AN586" s="50"/>
      <c r="AO586" s="50"/>
      <c r="AP586" s="50"/>
      <c r="AQ586" s="50"/>
      <c r="AR586" s="50"/>
      <c r="AS586" s="51"/>
      <c r="AT586" s="50"/>
      <c r="AU586" s="50"/>
      <c r="AV586" s="73"/>
      <c r="AW586" s="50"/>
      <c r="AX586" s="50"/>
    </row>
    <row r="587" spans="14:50" x14ac:dyDescent="0.3">
      <c r="N587" s="50"/>
      <c r="O587" s="50"/>
      <c r="P587" s="50"/>
      <c r="Q587" s="50"/>
      <c r="R587" s="50"/>
      <c r="S587" s="51"/>
      <c r="T587" s="50"/>
      <c r="U587" s="50"/>
      <c r="V587" s="73"/>
      <c r="W587" s="50"/>
      <c r="X587" s="50"/>
      <c r="AN587" s="50"/>
      <c r="AO587" s="50"/>
      <c r="AP587" s="50"/>
      <c r="AQ587" s="50"/>
      <c r="AR587" s="50"/>
      <c r="AS587" s="51"/>
      <c r="AT587" s="50"/>
      <c r="AU587" s="50"/>
      <c r="AV587" s="73"/>
      <c r="AW587" s="50"/>
      <c r="AX587" s="50"/>
    </row>
    <row r="588" spans="14:50" x14ac:dyDescent="0.3">
      <c r="N588" s="50"/>
      <c r="O588" s="50"/>
      <c r="P588" s="50"/>
      <c r="Q588" s="50"/>
      <c r="R588" s="50"/>
      <c r="S588" s="51"/>
      <c r="T588" s="50"/>
      <c r="U588" s="50"/>
      <c r="V588" s="73"/>
      <c r="W588" s="50"/>
      <c r="X588" s="50"/>
      <c r="AN588" s="50"/>
      <c r="AO588" s="50"/>
      <c r="AP588" s="50"/>
      <c r="AQ588" s="50"/>
      <c r="AR588" s="50"/>
      <c r="AS588" s="51"/>
      <c r="AT588" s="50"/>
      <c r="AU588" s="50"/>
      <c r="AV588" s="73"/>
      <c r="AW588" s="50"/>
      <c r="AX588" s="50"/>
    </row>
    <row r="589" spans="14:50" x14ac:dyDescent="0.3">
      <c r="N589" s="50"/>
      <c r="O589" s="50"/>
      <c r="P589" s="50"/>
      <c r="Q589" s="50"/>
      <c r="R589" s="50"/>
      <c r="S589" s="51"/>
      <c r="T589" s="50"/>
      <c r="U589" s="50"/>
      <c r="V589" s="73"/>
      <c r="W589" s="50"/>
      <c r="X589" s="50"/>
      <c r="AN589" s="50"/>
      <c r="AO589" s="50"/>
      <c r="AP589" s="50"/>
      <c r="AQ589" s="50"/>
      <c r="AR589" s="50"/>
      <c r="AS589" s="51"/>
      <c r="AT589" s="50"/>
      <c r="AU589" s="50"/>
      <c r="AV589" s="73"/>
      <c r="AW589" s="50"/>
      <c r="AX589" s="50"/>
    </row>
    <row r="590" spans="14:50" x14ac:dyDescent="0.3">
      <c r="N590" s="50"/>
      <c r="O590" s="50"/>
      <c r="P590" s="50"/>
      <c r="Q590" s="50"/>
      <c r="R590" s="50"/>
      <c r="S590" s="51"/>
      <c r="T590" s="50"/>
      <c r="U590" s="50"/>
      <c r="V590" s="73"/>
      <c r="W590" s="50"/>
      <c r="X590" s="50"/>
      <c r="AN590" s="50"/>
      <c r="AO590" s="50"/>
      <c r="AP590" s="50"/>
      <c r="AQ590" s="50"/>
      <c r="AR590" s="50"/>
      <c r="AS590" s="51"/>
      <c r="AT590" s="50"/>
      <c r="AU590" s="50"/>
      <c r="AV590" s="73"/>
      <c r="AW590" s="50"/>
      <c r="AX590" s="50"/>
    </row>
    <row r="591" spans="14:50" x14ac:dyDescent="0.3">
      <c r="N591" s="50"/>
      <c r="O591" s="50"/>
      <c r="P591" s="50"/>
      <c r="Q591" s="50"/>
      <c r="R591" s="50"/>
      <c r="S591" s="51"/>
      <c r="T591" s="50"/>
      <c r="U591" s="50"/>
      <c r="V591" s="73"/>
      <c r="W591" s="50"/>
      <c r="X591" s="50"/>
      <c r="AN591" s="50"/>
      <c r="AO591" s="50"/>
      <c r="AP591" s="50"/>
      <c r="AQ591" s="50"/>
      <c r="AR591" s="50"/>
      <c r="AS591" s="51"/>
      <c r="AT591" s="50"/>
      <c r="AU591" s="50"/>
      <c r="AV591" s="73"/>
      <c r="AW591" s="50"/>
      <c r="AX591" s="50"/>
    </row>
    <row r="592" spans="14:50" x14ac:dyDescent="0.3">
      <c r="N592" s="50"/>
      <c r="O592" s="50"/>
      <c r="P592" s="50"/>
      <c r="Q592" s="50"/>
      <c r="R592" s="50"/>
      <c r="S592" s="51"/>
      <c r="T592" s="50"/>
      <c r="U592" s="50"/>
      <c r="V592" s="73"/>
      <c r="W592" s="50"/>
      <c r="X592" s="50"/>
      <c r="AN592" s="50"/>
      <c r="AO592" s="50"/>
      <c r="AP592" s="50"/>
      <c r="AQ592" s="50"/>
      <c r="AR592" s="50"/>
      <c r="AS592" s="51"/>
      <c r="AT592" s="50"/>
      <c r="AU592" s="50"/>
      <c r="AV592" s="73"/>
      <c r="AW592" s="50"/>
      <c r="AX592" s="50"/>
    </row>
    <row r="593" spans="14:50" x14ac:dyDescent="0.3">
      <c r="N593" s="50"/>
      <c r="O593" s="50"/>
      <c r="P593" s="50"/>
      <c r="Q593" s="50"/>
      <c r="R593" s="50"/>
      <c r="S593" s="51"/>
      <c r="T593" s="50"/>
      <c r="U593" s="50"/>
      <c r="V593" s="73"/>
      <c r="W593" s="50"/>
      <c r="X593" s="50"/>
      <c r="AN593" s="50"/>
      <c r="AO593" s="50"/>
      <c r="AP593" s="50"/>
      <c r="AQ593" s="50"/>
      <c r="AR593" s="50"/>
      <c r="AS593" s="51"/>
      <c r="AT593" s="50"/>
      <c r="AU593" s="50"/>
      <c r="AV593" s="73"/>
      <c r="AW593" s="50"/>
      <c r="AX593" s="50"/>
    </row>
    <row r="594" spans="14:50" x14ac:dyDescent="0.3">
      <c r="N594" s="50"/>
      <c r="O594" s="50"/>
      <c r="P594" s="50"/>
      <c r="Q594" s="50"/>
      <c r="R594" s="50"/>
      <c r="S594" s="51"/>
      <c r="T594" s="50"/>
      <c r="U594" s="50"/>
      <c r="V594" s="73"/>
      <c r="W594" s="50"/>
      <c r="X594" s="50"/>
      <c r="AN594" s="50"/>
      <c r="AO594" s="50"/>
      <c r="AP594" s="50"/>
      <c r="AQ594" s="50"/>
      <c r="AR594" s="50"/>
      <c r="AS594" s="51"/>
      <c r="AT594" s="50"/>
      <c r="AU594" s="50"/>
      <c r="AV594" s="73"/>
      <c r="AW594" s="50"/>
      <c r="AX594" s="50"/>
    </row>
    <row r="595" spans="14:50" x14ac:dyDescent="0.3">
      <c r="N595" s="50"/>
      <c r="O595" s="50"/>
      <c r="P595" s="50"/>
      <c r="Q595" s="50"/>
      <c r="R595" s="50"/>
      <c r="S595" s="51"/>
      <c r="T595" s="50"/>
      <c r="U595" s="50"/>
      <c r="V595" s="73"/>
      <c r="W595" s="50"/>
      <c r="X595" s="50"/>
      <c r="AN595" s="50"/>
      <c r="AO595" s="50"/>
      <c r="AP595" s="50"/>
      <c r="AQ595" s="50"/>
      <c r="AR595" s="50"/>
      <c r="AS595" s="51"/>
      <c r="AT595" s="50"/>
      <c r="AU595" s="50"/>
      <c r="AV595" s="73"/>
      <c r="AW595" s="50"/>
      <c r="AX595" s="50"/>
    </row>
    <row r="596" spans="14:50" x14ac:dyDescent="0.3">
      <c r="N596" s="50"/>
      <c r="O596" s="50"/>
      <c r="P596" s="50"/>
      <c r="Q596" s="50"/>
      <c r="R596" s="50"/>
      <c r="S596" s="51"/>
      <c r="T596" s="50"/>
      <c r="U596" s="50"/>
      <c r="V596" s="73"/>
      <c r="W596" s="50"/>
      <c r="X596" s="50"/>
      <c r="AN596" s="50"/>
      <c r="AO596" s="50"/>
      <c r="AP596" s="50"/>
      <c r="AQ596" s="50"/>
      <c r="AR596" s="50"/>
      <c r="AS596" s="51"/>
      <c r="AT596" s="50"/>
      <c r="AU596" s="50"/>
      <c r="AV596" s="73"/>
      <c r="AW596" s="50"/>
      <c r="AX596" s="50"/>
    </row>
    <row r="597" spans="14:50" x14ac:dyDescent="0.3">
      <c r="N597" s="50"/>
      <c r="O597" s="50"/>
      <c r="P597" s="50"/>
      <c r="Q597" s="50"/>
      <c r="R597" s="50"/>
      <c r="S597" s="51"/>
      <c r="T597" s="50"/>
      <c r="U597" s="50"/>
      <c r="V597" s="73"/>
      <c r="W597" s="50"/>
      <c r="X597" s="50"/>
      <c r="AN597" s="50"/>
      <c r="AO597" s="50"/>
      <c r="AP597" s="50"/>
      <c r="AQ597" s="50"/>
      <c r="AR597" s="50"/>
      <c r="AS597" s="51"/>
      <c r="AT597" s="50"/>
      <c r="AU597" s="50"/>
      <c r="AV597" s="73"/>
      <c r="AW597" s="50"/>
      <c r="AX597" s="50"/>
    </row>
    <row r="598" spans="14:50" x14ac:dyDescent="0.3">
      <c r="N598" s="50"/>
      <c r="O598" s="50"/>
      <c r="P598" s="50"/>
      <c r="Q598" s="50"/>
      <c r="R598" s="50"/>
      <c r="S598" s="51"/>
      <c r="T598" s="50"/>
      <c r="U598" s="50"/>
      <c r="V598" s="73"/>
      <c r="W598" s="50"/>
      <c r="X598" s="50"/>
      <c r="AN598" s="50"/>
      <c r="AO598" s="50"/>
      <c r="AP598" s="50"/>
      <c r="AQ598" s="50"/>
      <c r="AR598" s="50"/>
      <c r="AS598" s="51"/>
      <c r="AT598" s="50"/>
      <c r="AU598" s="50"/>
      <c r="AV598" s="73"/>
      <c r="AW598" s="50"/>
      <c r="AX598" s="50"/>
    </row>
    <row r="599" spans="14:50" x14ac:dyDescent="0.3">
      <c r="N599" s="50"/>
      <c r="O599" s="50"/>
      <c r="P599" s="50"/>
      <c r="Q599" s="50"/>
      <c r="R599" s="50"/>
      <c r="S599" s="51"/>
      <c r="T599" s="50"/>
      <c r="U599" s="50"/>
      <c r="V599" s="73"/>
      <c r="W599" s="50"/>
      <c r="X599" s="50"/>
      <c r="AN599" s="50"/>
      <c r="AO599" s="50"/>
      <c r="AP599" s="50"/>
      <c r="AQ599" s="50"/>
      <c r="AR599" s="50"/>
      <c r="AS599" s="51"/>
      <c r="AT599" s="50"/>
      <c r="AU599" s="50"/>
      <c r="AV599" s="73"/>
      <c r="AW599" s="50"/>
      <c r="AX599" s="50"/>
    </row>
    <row r="600" spans="14:50" x14ac:dyDescent="0.3">
      <c r="N600" s="50"/>
      <c r="O600" s="50"/>
      <c r="P600" s="50"/>
      <c r="Q600" s="50"/>
      <c r="R600" s="50"/>
      <c r="S600" s="51"/>
      <c r="T600" s="50"/>
      <c r="U600" s="50"/>
      <c r="V600" s="73"/>
      <c r="W600" s="50"/>
      <c r="X600" s="50"/>
      <c r="AN600" s="50"/>
      <c r="AO600" s="50"/>
      <c r="AP600" s="50"/>
      <c r="AQ600" s="50"/>
      <c r="AR600" s="50"/>
      <c r="AS600" s="51"/>
      <c r="AT600" s="50"/>
      <c r="AU600" s="50"/>
      <c r="AV600" s="73"/>
      <c r="AW600" s="50"/>
      <c r="AX600" s="50"/>
    </row>
    <row r="601" spans="14:50" x14ac:dyDescent="0.3">
      <c r="N601" s="50"/>
      <c r="O601" s="50"/>
      <c r="P601" s="50"/>
      <c r="Q601" s="50"/>
      <c r="R601" s="50"/>
      <c r="S601" s="51"/>
      <c r="T601" s="50"/>
      <c r="U601" s="50"/>
      <c r="V601" s="73"/>
      <c r="W601" s="50"/>
      <c r="X601" s="50"/>
      <c r="AN601" s="50"/>
      <c r="AO601" s="50"/>
      <c r="AP601" s="50"/>
      <c r="AQ601" s="50"/>
      <c r="AR601" s="50"/>
      <c r="AS601" s="51"/>
      <c r="AT601" s="50"/>
      <c r="AU601" s="50"/>
      <c r="AV601" s="73"/>
      <c r="AW601" s="50"/>
      <c r="AX601" s="50"/>
    </row>
    <row r="602" spans="14:50" x14ac:dyDescent="0.3">
      <c r="N602" s="50"/>
      <c r="O602" s="50"/>
      <c r="P602" s="50"/>
      <c r="Q602" s="50"/>
      <c r="R602" s="50"/>
      <c r="S602" s="51"/>
      <c r="T602" s="50"/>
      <c r="U602" s="50"/>
      <c r="V602" s="73"/>
      <c r="W602" s="50"/>
      <c r="X602" s="50"/>
      <c r="AN602" s="50"/>
      <c r="AO602" s="50"/>
      <c r="AP602" s="50"/>
      <c r="AQ602" s="50"/>
      <c r="AR602" s="50"/>
      <c r="AS602" s="51"/>
      <c r="AT602" s="50"/>
      <c r="AU602" s="50"/>
      <c r="AV602" s="73"/>
      <c r="AW602" s="50"/>
      <c r="AX602" s="50"/>
    </row>
    <row r="603" spans="14:50" x14ac:dyDescent="0.3">
      <c r="N603" s="50"/>
      <c r="O603" s="50"/>
      <c r="P603" s="50"/>
      <c r="Q603" s="50"/>
      <c r="R603" s="50"/>
      <c r="S603" s="51"/>
      <c r="T603" s="50"/>
      <c r="U603" s="50"/>
      <c r="V603" s="73"/>
      <c r="W603" s="50"/>
      <c r="X603" s="50"/>
      <c r="AN603" s="50"/>
      <c r="AO603" s="50"/>
      <c r="AP603" s="50"/>
      <c r="AQ603" s="50"/>
      <c r="AR603" s="50"/>
      <c r="AS603" s="51"/>
      <c r="AT603" s="50"/>
      <c r="AU603" s="50"/>
      <c r="AV603" s="73"/>
      <c r="AW603" s="50"/>
      <c r="AX603" s="50"/>
    </row>
    <row r="604" spans="14:50" x14ac:dyDescent="0.3">
      <c r="N604" s="50"/>
      <c r="O604" s="50"/>
      <c r="P604" s="50"/>
      <c r="Q604" s="50"/>
      <c r="R604" s="50"/>
      <c r="S604" s="51"/>
      <c r="T604" s="50"/>
      <c r="U604" s="50"/>
      <c r="V604" s="73"/>
      <c r="W604" s="50"/>
      <c r="X604" s="50"/>
      <c r="AN604" s="50"/>
      <c r="AO604" s="50"/>
      <c r="AP604" s="50"/>
      <c r="AQ604" s="50"/>
      <c r="AR604" s="50"/>
      <c r="AS604" s="51"/>
      <c r="AT604" s="50"/>
      <c r="AU604" s="50"/>
      <c r="AV604" s="73"/>
      <c r="AW604" s="50"/>
      <c r="AX604" s="50"/>
    </row>
    <row r="605" spans="14:50" x14ac:dyDescent="0.3">
      <c r="N605" s="50"/>
      <c r="O605" s="50"/>
      <c r="P605" s="50"/>
      <c r="Q605" s="50"/>
      <c r="R605" s="50"/>
      <c r="S605" s="51"/>
      <c r="T605" s="50"/>
      <c r="U605" s="50"/>
      <c r="V605" s="73"/>
      <c r="W605" s="50"/>
      <c r="X605" s="50"/>
      <c r="AN605" s="50"/>
      <c r="AO605" s="50"/>
      <c r="AP605" s="50"/>
      <c r="AQ605" s="50"/>
      <c r="AR605" s="50"/>
      <c r="AS605" s="51"/>
      <c r="AT605" s="50"/>
      <c r="AU605" s="50"/>
      <c r="AV605" s="73"/>
      <c r="AW605" s="50"/>
      <c r="AX605" s="50"/>
    </row>
    <row r="606" spans="14:50" x14ac:dyDescent="0.3">
      <c r="N606" s="50"/>
      <c r="O606" s="50"/>
      <c r="P606" s="50"/>
      <c r="Q606" s="50"/>
      <c r="R606" s="50"/>
      <c r="S606" s="51"/>
      <c r="T606" s="50"/>
      <c r="U606" s="50"/>
      <c r="V606" s="73"/>
      <c r="W606" s="50"/>
      <c r="X606" s="50"/>
      <c r="AN606" s="50"/>
      <c r="AO606" s="50"/>
      <c r="AP606" s="50"/>
      <c r="AQ606" s="50"/>
      <c r="AR606" s="50"/>
      <c r="AS606" s="51"/>
      <c r="AT606" s="50"/>
      <c r="AU606" s="50"/>
      <c r="AV606" s="73"/>
      <c r="AW606" s="50"/>
      <c r="AX606" s="50"/>
    </row>
    <row r="607" spans="14:50" x14ac:dyDescent="0.3">
      <c r="N607" s="50"/>
      <c r="O607" s="50"/>
      <c r="P607" s="50"/>
      <c r="Q607" s="50"/>
      <c r="R607" s="50"/>
      <c r="S607" s="51"/>
      <c r="T607" s="50"/>
      <c r="U607" s="50"/>
      <c r="V607" s="73"/>
      <c r="W607" s="50"/>
      <c r="X607" s="50"/>
      <c r="AN607" s="50"/>
      <c r="AO607" s="50"/>
      <c r="AP607" s="50"/>
      <c r="AQ607" s="50"/>
      <c r="AR607" s="50"/>
      <c r="AS607" s="51"/>
      <c r="AT607" s="50"/>
      <c r="AU607" s="50"/>
      <c r="AV607" s="73"/>
      <c r="AW607" s="50"/>
      <c r="AX607" s="50"/>
    </row>
    <row r="608" spans="14:50" x14ac:dyDescent="0.3">
      <c r="N608" s="50"/>
      <c r="O608" s="50"/>
      <c r="P608" s="50"/>
      <c r="Q608" s="50"/>
      <c r="R608" s="50"/>
      <c r="S608" s="51"/>
      <c r="T608" s="50"/>
      <c r="U608" s="50"/>
      <c r="V608" s="73"/>
      <c r="W608" s="50"/>
      <c r="X608" s="50"/>
      <c r="AN608" s="50"/>
      <c r="AO608" s="50"/>
      <c r="AP608" s="50"/>
      <c r="AQ608" s="50"/>
      <c r="AR608" s="50"/>
      <c r="AS608" s="51"/>
      <c r="AT608" s="50"/>
      <c r="AU608" s="50"/>
      <c r="AV608" s="73"/>
      <c r="AW608" s="50"/>
      <c r="AX608" s="50"/>
    </row>
    <row r="609" spans="14:50" x14ac:dyDescent="0.3">
      <c r="N609" s="50"/>
      <c r="O609" s="50"/>
      <c r="P609" s="50"/>
      <c r="Q609" s="50"/>
      <c r="R609" s="50"/>
      <c r="S609" s="51"/>
      <c r="T609" s="50"/>
      <c r="U609" s="50"/>
      <c r="V609" s="73"/>
      <c r="W609" s="50"/>
      <c r="X609" s="50"/>
      <c r="AN609" s="50"/>
      <c r="AO609" s="50"/>
      <c r="AP609" s="50"/>
      <c r="AQ609" s="50"/>
      <c r="AR609" s="50"/>
      <c r="AS609" s="51"/>
      <c r="AT609" s="50"/>
      <c r="AU609" s="50"/>
      <c r="AV609" s="73"/>
      <c r="AW609" s="50"/>
      <c r="AX609" s="50"/>
    </row>
    <row r="610" spans="14:50" x14ac:dyDescent="0.3">
      <c r="N610" s="50"/>
      <c r="O610" s="50"/>
      <c r="P610" s="50"/>
      <c r="Q610" s="50"/>
      <c r="R610" s="50"/>
      <c r="S610" s="51"/>
      <c r="T610" s="50"/>
      <c r="U610" s="50"/>
      <c r="V610" s="73"/>
      <c r="W610" s="50"/>
      <c r="X610" s="50"/>
      <c r="AN610" s="50"/>
      <c r="AO610" s="50"/>
      <c r="AP610" s="50"/>
      <c r="AQ610" s="50"/>
      <c r="AR610" s="50"/>
      <c r="AS610" s="51"/>
      <c r="AT610" s="50"/>
      <c r="AU610" s="50"/>
      <c r="AV610" s="73"/>
      <c r="AW610" s="50"/>
      <c r="AX610" s="50"/>
    </row>
    <row r="611" spans="14:50" x14ac:dyDescent="0.3">
      <c r="N611" s="50"/>
      <c r="O611" s="50"/>
      <c r="P611" s="50"/>
      <c r="Q611" s="50"/>
      <c r="R611" s="50"/>
      <c r="S611" s="51"/>
      <c r="T611" s="50"/>
      <c r="U611" s="50"/>
      <c r="V611" s="73"/>
      <c r="W611" s="50"/>
      <c r="X611" s="50"/>
      <c r="AN611" s="50"/>
      <c r="AO611" s="50"/>
      <c r="AP611" s="50"/>
      <c r="AQ611" s="50"/>
      <c r="AR611" s="50"/>
      <c r="AS611" s="51"/>
      <c r="AT611" s="50"/>
      <c r="AU611" s="50"/>
      <c r="AV611" s="73"/>
      <c r="AW611" s="50"/>
      <c r="AX611" s="50"/>
    </row>
    <row r="612" spans="14:50" x14ac:dyDescent="0.3">
      <c r="N612" s="50"/>
      <c r="O612" s="50"/>
      <c r="P612" s="50"/>
      <c r="Q612" s="50"/>
      <c r="R612" s="50"/>
      <c r="S612" s="51"/>
      <c r="T612" s="50"/>
      <c r="U612" s="50"/>
      <c r="V612" s="73"/>
      <c r="W612" s="50"/>
      <c r="X612" s="50"/>
      <c r="AN612" s="50"/>
      <c r="AO612" s="50"/>
      <c r="AP612" s="50"/>
      <c r="AQ612" s="50"/>
      <c r="AR612" s="50"/>
      <c r="AS612" s="51"/>
      <c r="AT612" s="50"/>
      <c r="AU612" s="50"/>
      <c r="AV612" s="73"/>
      <c r="AW612" s="50"/>
      <c r="AX612" s="50"/>
    </row>
    <row r="613" spans="14:50" x14ac:dyDescent="0.3">
      <c r="N613" s="50"/>
      <c r="O613" s="50"/>
      <c r="P613" s="50"/>
      <c r="Q613" s="50"/>
      <c r="R613" s="50"/>
      <c r="S613" s="51"/>
      <c r="T613" s="50"/>
      <c r="U613" s="50"/>
      <c r="V613" s="73"/>
      <c r="W613" s="50"/>
      <c r="X613" s="50"/>
      <c r="AN613" s="50"/>
      <c r="AO613" s="50"/>
      <c r="AP613" s="50"/>
      <c r="AQ613" s="50"/>
      <c r="AR613" s="50"/>
      <c r="AS613" s="51"/>
      <c r="AT613" s="50"/>
      <c r="AU613" s="50"/>
      <c r="AV613" s="73"/>
      <c r="AW613" s="50"/>
      <c r="AX613" s="50"/>
    </row>
    <row r="614" spans="14:50" x14ac:dyDescent="0.3">
      <c r="N614" s="50"/>
      <c r="O614" s="50"/>
      <c r="P614" s="50"/>
      <c r="Q614" s="50"/>
      <c r="R614" s="50"/>
      <c r="S614" s="51"/>
      <c r="T614" s="50"/>
      <c r="U614" s="50"/>
      <c r="V614" s="73"/>
      <c r="W614" s="50"/>
      <c r="X614" s="50"/>
      <c r="AN614" s="50"/>
      <c r="AO614" s="50"/>
      <c r="AP614" s="50"/>
      <c r="AQ614" s="50"/>
      <c r="AR614" s="50"/>
      <c r="AS614" s="51"/>
      <c r="AT614" s="50"/>
      <c r="AU614" s="50"/>
      <c r="AV614" s="73"/>
      <c r="AW614" s="50"/>
      <c r="AX614" s="50"/>
    </row>
    <row r="615" spans="14:50" x14ac:dyDescent="0.3">
      <c r="N615" s="50"/>
      <c r="O615" s="50"/>
      <c r="P615" s="50"/>
      <c r="Q615" s="50"/>
      <c r="R615" s="50"/>
      <c r="S615" s="51"/>
      <c r="T615" s="50"/>
      <c r="U615" s="50"/>
      <c r="V615" s="73"/>
      <c r="W615" s="50"/>
      <c r="X615" s="50"/>
      <c r="AN615" s="50"/>
      <c r="AO615" s="50"/>
      <c r="AP615" s="50"/>
      <c r="AQ615" s="50"/>
      <c r="AR615" s="50"/>
      <c r="AS615" s="51"/>
      <c r="AT615" s="50"/>
      <c r="AU615" s="50"/>
      <c r="AV615" s="73"/>
      <c r="AW615" s="50"/>
      <c r="AX615" s="50"/>
    </row>
    <row r="616" spans="14:50" x14ac:dyDescent="0.3">
      <c r="N616" s="50"/>
      <c r="O616" s="50"/>
      <c r="P616" s="50"/>
      <c r="Q616" s="50"/>
      <c r="R616" s="50"/>
      <c r="S616" s="51"/>
      <c r="T616" s="50"/>
      <c r="U616" s="50"/>
      <c r="V616" s="73"/>
      <c r="W616" s="50"/>
      <c r="X616" s="50"/>
      <c r="AN616" s="50"/>
      <c r="AO616" s="50"/>
      <c r="AP616" s="50"/>
      <c r="AQ616" s="50"/>
      <c r="AR616" s="50"/>
      <c r="AS616" s="51"/>
      <c r="AT616" s="50"/>
      <c r="AU616" s="50"/>
      <c r="AV616" s="73"/>
      <c r="AW616" s="50"/>
      <c r="AX616" s="50"/>
    </row>
    <row r="617" spans="14:50" x14ac:dyDescent="0.3">
      <c r="N617" s="50"/>
      <c r="O617" s="50"/>
      <c r="P617" s="50"/>
      <c r="Q617" s="50"/>
      <c r="R617" s="50"/>
      <c r="S617" s="51"/>
      <c r="T617" s="50"/>
      <c r="U617" s="50"/>
      <c r="V617" s="73"/>
      <c r="W617" s="50"/>
      <c r="X617" s="50"/>
      <c r="AN617" s="50"/>
      <c r="AO617" s="50"/>
      <c r="AP617" s="50"/>
      <c r="AQ617" s="50"/>
      <c r="AR617" s="50"/>
      <c r="AS617" s="51"/>
      <c r="AT617" s="50"/>
      <c r="AU617" s="50"/>
      <c r="AV617" s="73"/>
      <c r="AW617" s="50"/>
      <c r="AX617" s="50"/>
    </row>
    <row r="618" spans="14:50" x14ac:dyDescent="0.3">
      <c r="N618" s="50"/>
      <c r="O618" s="50"/>
      <c r="P618" s="50"/>
      <c r="Q618" s="50"/>
      <c r="R618" s="50"/>
      <c r="S618" s="51"/>
      <c r="T618" s="50"/>
      <c r="U618" s="50"/>
      <c r="V618" s="73"/>
      <c r="W618" s="50"/>
      <c r="X618" s="50"/>
      <c r="AN618" s="50"/>
      <c r="AO618" s="50"/>
      <c r="AP618" s="50"/>
      <c r="AQ618" s="50"/>
      <c r="AR618" s="50"/>
      <c r="AS618" s="51"/>
      <c r="AT618" s="50"/>
      <c r="AU618" s="50"/>
      <c r="AV618" s="73"/>
      <c r="AW618" s="50"/>
      <c r="AX618" s="50"/>
    </row>
    <row r="619" spans="14:50" x14ac:dyDescent="0.3">
      <c r="N619" s="50"/>
      <c r="O619" s="50"/>
      <c r="P619" s="50"/>
      <c r="Q619" s="50"/>
      <c r="R619" s="50"/>
      <c r="S619" s="51"/>
      <c r="T619" s="50"/>
      <c r="U619" s="50"/>
      <c r="V619" s="73"/>
      <c r="W619" s="50"/>
      <c r="X619" s="50"/>
      <c r="AN619" s="50"/>
      <c r="AO619" s="50"/>
      <c r="AP619" s="50"/>
      <c r="AQ619" s="50"/>
      <c r="AR619" s="50"/>
      <c r="AS619" s="51"/>
      <c r="AT619" s="50"/>
      <c r="AU619" s="50"/>
      <c r="AV619" s="73"/>
      <c r="AW619" s="50"/>
      <c r="AX619" s="50"/>
    </row>
    <row r="620" spans="14:50" x14ac:dyDescent="0.3">
      <c r="N620" s="50"/>
      <c r="O620" s="50"/>
      <c r="P620" s="50"/>
      <c r="Q620" s="50"/>
      <c r="R620" s="50"/>
      <c r="S620" s="51"/>
      <c r="T620" s="50"/>
      <c r="U620" s="50"/>
      <c r="V620" s="73"/>
      <c r="W620" s="50"/>
      <c r="X620" s="50"/>
      <c r="AN620" s="50"/>
      <c r="AO620" s="50"/>
      <c r="AP620" s="50"/>
      <c r="AQ620" s="50"/>
      <c r="AR620" s="50"/>
      <c r="AS620" s="51"/>
      <c r="AT620" s="50"/>
      <c r="AU620" s="50"/>
      <c r="AV620" s="73"/>
      <c r="AW620" s="50"/>
      <c r="AX620" s="50"/>
    </row>
    <row r="621" spans="14:50" x14ac:dyDescent="0.3">
      <c r="N621" s="50"/>
      <c r="O621" s="50"/>
      <c r="P621" s="50"/>
      <c r="Q621" s="50"/>
      <c r="R621" s="50"/>
      <c r="S621" s="51"/>
      <c r="T621" s="50"/>
      <c r="U621" s="50"/>
      <c r="V621" s="73"/>
      <c r="W621" s="50"/>
      <c r="X621" s="50"/>
      <c r="AN621" s="50"/>
      <c r="AO621" s="50"/>
      <c r="AP621" s="50"/>
      <c r="AQ621" s="50"/>
      <c r="AR621" s="50"/>
      <c r="AS621" s="51"/>
      <c r="AT621" s="50"/>
      <c r="AU621" s="50"/>
      <c r="AV621" s="73"/>
      <c r="AW621" s="50"/>
      <c r="AX621" s="50"/>
    </row>
    <row r="622" spans="14:50" x14ac:dyDescent="0.3">
      <c r="N622" s="50"/>
      <c r="O622" s="50"/>
      <c r="P622" s="50"/>
      <c r="Q622" s="50"/>
      <c r="R622" s="50"/>
      <c r="S622" s="51"/>
      <c r="T622" s="50"/>
      <c r="U622" s="50"/>
      <c r="V622" s="73"/>
      <c r="W622" s="50"/>
      <c r="X622" s="50"/>
      <c r="AN622" s="50"/>
      <c r="AO622" s="50"/>
      <c r="AP622" s="50"/>
      <c r="AQ622" s="50"/>
      <c r="AR622" s="50"/>
      <c r="AS622" s="51"/>
      <c r="AT622" s="50"/>
      <c r="AU622" s="50"/>
      <c r="AV622" s="73"/>
      <c r="AW622" s="50"/>
      <c r="AX622" s="50"/>
    </row>
    <row r="623" spans="14:50" x14ac:dyDescent="0.3">
      <c r="N623" s="50"/>
      <c r="O623" s="50"/>
      <c r="P623" s="50"/>
      <c r="Q623" s="50"/>
      <c r="R623" s="50"/>
      <c r="S623" s="51"/>
      <c r="T623" s="50"/>
      <c r="U623" s="50"/>
      <c r="V623" s="73"/>
      <c r="W623" s="50"/>
      <c r="X623" s="50"/>
      <c r="AN623" s="50"/>
      <c r="AO623" s="50"/>
      <c r="AP623" s="50"/>
      <c r="AQ623" s="50"/>
      <c r="AR623" s="50"/>
      <c r="AS623" s="51"/>
      <c r="AT623" s="50"/>
      <c r="AU623" s="50"/>
      <c r="AV623" s="73"/>
      <c r="AW623" s="50"/>
      <c r="AX623" s="50"/>
    </row>
    <row r="624" spans="14:50" x14ac:dyDescent="0.3">
      <c r="N624" s="50"/>
      <c r="O624" s="50"/>
      <c r="P624" s="50"/>
      <c r="Q624" s="50"/>
      <c r="R624" s="50"/>
      <c r="S624" s="51"/>
      <c r="T624" s="50"/>
      <c r="U624" s="50"/>
      <c r="V624" s="73"/>
      <c r="W624" s="50"/>
      <c r="X624" s="50"/>
      <c r="AN624" s="50"/>
      <c r="AO624" s="50"/>
      <c r="AP624" s="50"/>
      <c r="AQ624" s="50"/>
      <c r="AR624" s="50"/>
      <c r="AS624" s="51"/>
      <c r="AT624" s="50"/>
      <c r="AU624" s="50"/>
      <c r="AV624" s="73"/>
      <c r="AW624" s="50"/>
      <c r="AX624" s="50"/>
    </row>
    <row r="625" spans="14:50" x14ac:dyDescent="0.3">
      <c r="N625" s="50"/>
      <c r="O625" s="50"/>
      <c r="P625" s="50"/>
      <c r="Q625" s="50"/>
      <c r="R625" s="50"/>
      <c r="S625" s="51"/>
      <c r="T625" s="50"/>
      <c r="U625" s="50"/>
      <c r="V625" s="73"/>
      <c r="W625" s="50"/>
      <c r="X625" s="50"/>
      <c r="AN625" s="50"/>
      <c r="AO625" s="50"/>
      <c r="AP625" s="50"/>
      <c r="AQ625" s="50"/>
      <c r="AR625" s="50"/>
      <c r="AS625" s="51"/>
      <c r="AT625" s="50"/>
      <c r="AU625" s="50"/>
      <c r="AV625" s="73"/>
      <c r="AW625" s="50"/>
      <c r="AX625" s="50"/>
    </row>
    <row r="626" spans="14:50" x14ac:dyDescent="0.3">
      <c r="N626" s="50"/>
      <c r="O626" s="50"/>
      <c r="P626" s="50"/>
      <c r="Q626" s="50"/>
      <c r="R626" s="50"/>
      <c r="S626" s="51"/>
      <c r="T626" s="50"/>
      <c r="U626" s="50"/>
      <c r="V626" s="73"/>
      <c r="W626" s="50"/>
      <c r="X626" s="50"/>
      <c r="AN626" s="50"/>
      <c r="AO626" s="50"/>
      <c r="AP626" s="50"/>
      <c r="AQ626" s="50"/>
      <c r="AR626" s="50"/>
      <c r="AS626" s="51"/>
      <c r="AT626" s="50"/>
      <c r="AU626" s="50"/>
      <c r="AV626" s="73"/>
      <c r="AW626" s="50"/>
      <c r="AX626" s="50"/>
    </row>
    <row r="627" spans="14:50" x14ac:dyDescent="0.3">
      <c r="N627" s="50"/>
      <c r="O627" s="50"/>
      <c r="P627" s="50"/>
      <c r="Q627" s="50"/>
      <c r="R627" s="50"/>
      <c r="S627" s="51"/>
      <c r="T627" s="50"/>
      <c r="U627" s="50"/>
      <c r="V627" s="73"/>
      <c r="W627" s="50"/>
      <c r="X627" s="50"/>
      <c r="AN627" s="50"/>
      <c r="AO627" s="50"/>
      <c r="AP627" s="50"/>
      <c r="AQ627" s="50"/>
      <c r="AR627" s="50"/>
      <c r="AS627" s="51"/>
      <c r="AT627" s="50"/>
      <c r="AU627" s="50"/>
      <c r="AV627" s="73"/>
      <c r="AW627" s="50"/>
      <c r="AX627" s="50"/>
    </row>
    <row r="628" spans="14:50" x14ac:dyDescent="0.3">
      <c r="N628" s="50"/>
      <c r="O628" s="50"/>
      <c r="P628" s="50"/>
      <c r="Q628" s="50"/>
      <c r="R628" s="50"/>
      <c r="S628" s="51"/>
      <c r="T628" s="50"/>
      <c r="U628" s="50"/>
      <c r="V628" s="73"/>
      <c r="W628" s="50"/>
      <c r="X628" s="50"/>
      <c r="AN628" s="50"/>
      <c r="AO628" s="50"/>
      <c r="AP628" s="50"/>
      <c r="AQ628" s="50"/>
      <c r="AR628" s="50"/>
      <c r="AS628" s="51"/>
      <c r="AT628" s="50"/>
      <c r="AU628" s="50"/>
      <c r="AV628" s="73"/>
      <c r="AW628" s="50"/>
      <c r="AX628" s="50"/>
    </row>
    <row r="629" spans="14:50" x14ac:dyDescent="0.3">
      <c r="N629" s="50"/>
      <c r="O629" s="50"/>
      <c r="P629" s="50"/>
      <c r="Q629" s="50"/>
      <c r="R629" s="50"/>
      <c r="S629" s="51"/>
      <c r="T629" s="50"/>
      <c r="U629" s="50"/>
      <c r="V629" s="73"/>
      <c r="W629" s="50"/>
      <c r="X629" s="50"/>
      <c r="AN629" s="50"/>
      <c r="AO629" s="50"/>
      <c r="AP629" s="50"/>
      <c r="AQ629" s="50"/>
      <c r="AR629" s="50"/>
      <c r="AS629" s="51"/>
      <c r="AT629" s="50"/>
      <c r="AU629" s="50"/>
      <c r="AV629" s="73"/>
      <c r="AW629" s="50"/>
      <c r="AX629" s="50"/>
    </row>
    <row r="630" spans="14:50" x14ac:dyDescent="0.3">
      <c r="N630" s="50"/>
      <c r="O630" s="50"/>
      <c r="P630" s="50"/>
      <c r="Q630" s="50"/>
      <c r="R630" s="50"/>
      <c r="S630" s="51"/>
      <c r="T630" s="50"/>
      <c r="U630" s="50"/>
      <c r="V630" s="73"/>
      <c r="W630" s="50"/>
      <c r="X630" s="50"/>
      <c r="AN630" s="50"/>
      <c r="AO630" s="50"/>
      <c r="AP630" s="50"/>
      <c r="AQ630" s="50"/>
      <c r="AR630" s="50"/>
      <c r="AS630" s="51"/>
      <c r="AT630" s="50"/>
      <c r="AU630" s="50"/>
      <c r="AV630" s="73"/>
      <c r="AW630" s="50"/>
      <c r="AX630" s="50"/>
    </row>
    <row r="631" spans="14:50" x14ac:dyDescent="0.3">
      <c r="N631" s="50"/>
      <c r="O631" s="50"/>
      <c r="P631" s="50"/>
      <c r="Q631" s="50"/>
      <c r="R631" s="50"/>
      <c r="S631" s="51"/>
      <c r="T631" s="50"/>
      <c r="U631" s="50"/>
      <c r="V631" s="73"/>
      <c r="W631" s="50"/>
      <c r="X631" s="50"/>
      <c r="AN631" s="50"/>
      <c r="AO631" s="50"/>
      <c r="AP631" s="50"/>
      <c r="AQ631" s="50"/>
      <c r="AR631" s="50"/>
      <c r="AS631" s="51"/>
      <c r="AT631" s="50"/>
      <c r="AU631" s="50"/>
      <c r="AV631" s="73"/>
      <c r="AW631" s="50"/>
      <c r="AX631" s="50"/>
    </row>
    <row r="632" spans="14:50" x14ac:dyDescent="0.3">
      <c r="N632" s="50"/>
      <c r="O632" s="50"/>
      <c r="P632" s="50"/>
      <c r="Q632" s="50"/>
      <c r="R632" s="50"/>
      <c r="S632" s="51"/>
      <c r="T632" s="50"/>
      <c r="U632" s="50"/>
      <c r="V632" s="73"/>
      <c r="W632" s="50"/>
      <c r="X632" s="50"/>
      <c r="AN632" s="50"/>
      <c r="AO632" s="50"/>
      <c r="AP632" s="50"/>
      <c r="AQ632" s="50"/>
      <c r="AR632" s="50"/>
      <c r="AS632" s="51"/>
      <c r="AT632" s="50"/>
      <c r="AU632" s="50"/>
      <c r="AV632" s="73"/>
      <c r="AW632" s="50"/>
      <c r="AX632" s="50"/>
    </row>
    <row r="633" spans="14:50" x14ac:dyDescent="0.3">
      <c r="N633" s="50"/>
      <c r="O633" s="50"/>
      <c r="P633" s="50"/>
      <c r="Q633" s="50"/>
      <c r="R633" s="50"/>
      <c r="S633" s="51"/>
      <c r="T633" s="50"/>
      <c r="U633" s="50"/>
      <c r="V633" s="73"/>
      <c r="W633" s="50"/>
      <c r="X633" s="50"/>
      <c r="AN633" s="50"/>
      <c r="AO633" s="50"/>
      <c r="AP633" s="50"/>
      <c r="AQ633" s="50"/>
      <c r="AR633" s="50"/>
      <c r="AS633" s="51"/>
      <c r="AT633" s="50"/>
      <c r="AU633" s="50"/>
      <c r="AV633" s="73"/>
      <c r="AW633" s="50"/>
      <c r="AX633" s="50"/>
    </row>
    <row r="634" spans="14:50" x14ac:dyDescent="0.3">
      <c r="N634" s="50"/>
      <c r="O634" s="50"/>
      <c r="P634" s="50"/>
      <c r="Q634" s="50"/>
      <c r="R634" s="50"/>
      <c r="S634" s="51"/>
      <c r="T634" s="50"/>
      <c r="U634" s="50"/>
      <c r="V634" s="73"/>
      <c r="W634" s="50"/>
      <c r="X634" s="50"/>
      <c r="AN634" s="50"/>
      <c r="AO634" s="50"/>
      <c r="AP634" s="50"/>
      <c r="AQ634" s="50"/>
      <c r="AR634" s="50"/>
      <c r="AS634" s="51"/>
      <c r="AT634" s="50"/>
      <c r="AU634" s="50"/>
      <c r="AV634" s="73"/>
      <c r="AW634" s="50"/>
      <c r="AX634" s="50"/>
    </row>
    <row r="635" spans="14:50" x14ac:dyDescent="0.3">
      <c r="N635" s="50"/>
      <c r="O635" s="50"/>
      <c r="P635" s="50"/>
      <c r="Q635" s="50"/>
      <c r="R635" s="50"/>
      <c r="S635" s="51"/>
      <c r="T635" s="50"/>
      <c r="U635" s="50"/>
      <c r="V635" s="73"/>
      <c r="W635" s="50"/>
      <c r="X635" s="50"/>
      <c r="AN635" s="50"/>
      <c r="AO635" s="50"/>
      <c r="AP635" s="50"/>
      <c r="AQ635" s="50"/>
      <c r="AR635" s="50"/>
      <c r="AS635" s="51"/>
      <c r="AT635" s="50"/>
      <c r="AU635" s="50"/>
      <c r="AV635" s="73"/>
      <c r="AW635" s="50"/>
      <c r="AX635" s="50"/>
    </row>
    <row r="636" spans="14:50" x14ac:dyDescent="0.3">
      <c r="N636" s="50"/>
      <c r="O636" s="50"/>
      <c r="P636" s="50"/>
      <c r="Q636" s="50"/>
      <c r="R636" s="50"/>
      <c r="S636" s="51"/>
      <c r="T636" s="50"/>
      <c r="U636" s="50"/>
      <c r="V636" s="73"/>
      <c r="W636" s="50"/>
      <c r="X636" s="50"/>
      <c r="AN636" s="50"/>
      <c r="AO636" s="50"/>
      <c r="AP636" s="50"/>
      <c r="AQ636" s="50"/>
      <c r="AR636" s="50"/>
      <c r="AS636" s="51"/>
      <c r="AT636" s="50"/>
      <c r="AU636" s="50"/>
      <c r="AV636" s="73"/>
      <c r="AW636" s="50"/>
      <c r="AX636" s="50"/>
    </row>
    <row r="637" spans="14:50" x14ac:dyDescent="0.3">
      <c r="N637" s="50"/>
      <c r="O637" s="50"/>
      <c r="P637" s="50"/>
      <c r="Q637" s="50"/>
      <c r="R637" s="50"/>
      <c r="S637" s="51"/>
      <c r="T637" s="50"/>
      <c r="U637" s="50"/>
      <c r="V637" s="73"/>
      <c r="W637" s="50"/>
      <c r="X637" s="50"/>
      <c r="AN637" s="50"/>
      <c r="AO637" s="50"/>
      <c r="AP637" s="50"/>
      <c r="AQ637" s="50"/>
      <c r="AR637" s="50"/>
      <c r="AS637" s="51"/>
      <c r="AT637" s="50"/>
      <c r="AU637" s="50"/>
      <c r="AV637" s="73"/>
      <c r="AW637" s="50"/>
      <c r="AX637" s="50"/>
    </row>
    <row r="638" spans="14:50" x14ac:dyDescent="0.3">
      <c r="N638" s="50"/>
      <c r="O638" s="50"/>
      <c r="P638" s="50"/>
      <c r="Q638" s="50"/>
      <c r="R638" s="50"/>
      <c r="S638" s="51"/>
      <c r="T638" s="50"/>
      <c r="U638" s="50"/>
      <c r="V638" s="73"/>
      <c r="W638" s="50"/>
      <c r="X638" s="50"/>
      <c r="AN638" s="50"/>
      <c r="AO638" s="50"/>
      <c r="AP638" s="50"/>
      <c r="AQ638" s="50"/>
      <c r="AR638" s="50"/>
      <c r="AS638" s="51"/>
      <c r="AT638" s="50"/>
      <c r="AU638" s="50"/>
      <c r="AV638" s="73"/>
      <c r="AW638" s="50"/>
      <c r="AX638" s="50"/>
    </row>
    <row r="639" spans="14:50" x14ac:dyDescent="0.3">
      <c r="N639" s="50"/>
      <c r="O639" s="50"/>
      <c r="P639" s="50"/>
      <c r="Q639" s="50"/>
      <c r="R639" s="50"/>
      <c r="S639" s="51"/>
      <c r="T639" s="50"/>
      <c r="U639" s="50"/>
      <c r="V639" s="73"/>
      <c r="W639" s="50"/>
      <c r="X639" s="50"/>
      <c r="AN639" s="50"/>
      <c r="AO639" s="50"/>
      <c r="AP639" s="50"/>
      <c r="AQ639" s="50"/>
      <c r="AR639" s="50"/>
      <c r="AS639" s="51"/>
      <c r="AT639" s="50"/>
      <c r="AU639" s="50"/>
      <c r="AV639" s="73"/>
      <c r="AW639" s="50"/>
      <c r="AX639" s="50"/>
    </row>
    <row r="640" spans="14:50" x14ac:dyDescent="0.3">
      <c r="N640" s="50"/>
      <c r="O640" s="50"/>
      <c r="P640" s="50"/>
      <c r="Q640" s="50"/>
      <c r="R640" s="50"/>
      <c r="S640" s="51"/>
      <c r="T640" s="50"/>
      <c r="U640" s="50"/>
      <c r="V640" s="73"/>
      <c r="W640" s="50"/>
      <c r="X640" s="50"/>
      <c r="AN640" s="50"/>
      <c r="AO640" s="50"/>
      <c r="AP640" s="50"/>
      <c r="AQ640" s="50"/>
      <c r="AR640" s="50"/>
      <c r="AS640" s="51"/>
      <c r="AT640" s="50"/>
      <c r="AU640" s="50"/>
      <c r="AV640" s="73"/>
      <c r="AW640" s="50"/>
      <c r="AX640" s="50"/>
    </row>
    <row r="641" spans="14:50" x14ac:dyDescent="0.3">
      <c r="N641" s="50"/>
      <c r="O641" s="50"/>
      <c r="P641" s="50"/>
      <c r="Q641" s="50"/>
      <c r="R641" s="50"/>
      <c r="S641" s="51"/>
      <c r="T641" s="50"/>
      <c r="U641" s="50"/>
      <c r="V641" s="73"/>
      <c r="W641" s="50"/>
      <c r="X641" s="50"/>
      <c r="AN641" s="50"/>
      <c r="AO641" s="50"/>
      <c r="AP641" s="50"/>
      <c r="AQ641" s="50"/>
      <c r="AR641" s="50"/>
      <c r="AS641" s="51"/>
      <c r="AT641" s="50"/>
      <c r="AU641" s="50"/>
      <c r="AV641" s="73"/>
      <c r="AW641" s="50"/>
      <c r="AX641" s="50"/>
    </row>
    <row r="642" spans="14:50" x14ac:dyDescent="0.3">
      <c r="N642" s="50"/>
      <c r="O642" s="50"/>
      <c r="P642" s="50"/>
      <c r="Q642" s="50"/>
      <c r="R642" s="50"/>
      <c r="S642" s="51"/>
      <c r="T642" s="50"/>
      <c r="U642" s="50"/>
      <c r="V642" s="73"/>
      <c r="W642" s="50"/>
      <c r="X642" s="50"/>
      <c r="AN642" s="50"/>
      <c r="AO642" s="50"/>
      <c r="AP642" s="50"/>
      <c r="AQ642" s="50"/>
      <c r="AR642" s="50"/>
      <c r="AS642" s="51"/>
      <c r="AT642" s="50"/>
      <c r="AU642" s="50"/>
      <c r="AV642" s="73"/>
      <c r="AW642" s="50"/>
      <c r="AX642" s="50"/>
    </row>
    <row r="643" spans="14:50" x14ac:dyDescent="0.3">
      <c r="N643" s="50"/>
      <c r="O643" s="50"/>
      <c r="P643" s="50"/>
      <c r="Q643" s="50"/>
      <c r="R643" s="50"/>
      <c r="S643" s="51"/>
      <c r="T643" s="50"/>
      <c r="U643" s="50"/>
      <c r="V643" s="73"/>
      <c r="W643" s="50"/>
      <c r="X643" s="50"/>
      <c r="AN643" s="50"/>
      <c r="AO643" s="50"/>
      <c r="AP643" s="50"/>
      <c r="AQ643" s="50"/>
      <c r="AR643" s="50"/>
      <c r="AS643" s="51"/>
      <c r="AT643" s="50"/>
      <c r="AU643" s="50"/>
      <c r="AV643" s="73"/>
      <c r="AW643" s="50"/>
      <c r="AX643" s="50"/>
    </row>
    <row r="644" spans="14:50" x14ac:dyDescent="0.3">
      <c r="N644" s="50"/>
      <c r="O644" s="50"/>
      <c r="P644" s="50"/>
      <c r="Q644" s="50"/>
      <c r="R644" s="50"/>
      <c r="S644" s="51"/>
      <c r="T644" s="50"/>
      <c r="U644" s="50"/>
      <c r="V644" s="73"/>
      <c r="W644" s="50"/>
      <c r="X644" s="50"/>
      <c r="AN644" s="50"/>
      <c r="AO644" s="50"/>
      <c r="AP644" s="50"/>
      <c r="AQ644" s="50"/>
      <c r="AR644" s="50"/>
      <c r="AS644" s="51"/>
      <c r="AT644" s="50"/>
      <c r="AU644" s="50"/>
      <c r="AV644" s="73"/>
      <c r="AW644" s="50"/>
      <c r="AX644" s="50"/>
    </row>
    <row r="645" spans="14:50" x14ac:dyDescent="0.3">
      <c r="N645" s="50"/>
      <c r="O645" s="50"/>
      <c r="P645" s="50"/>
      <c r="Q645" s="50"/>
      <c r="R645" s="50"/>
      <c r="S645" s="51"/>
      <c r="T645" s="50"/>
      <c r="U645" s="50"/>
      <c r="V645" s="73"/>
      <c r="W645" s="50"/>
      <c r="X645" s="50"/>
      <c r="AN645" s="50"/>
      <c r="AO645" s="50"/>
      <c r="AP645" s="50"/>
      <c r="AQ645" s="50"/>
      <c r="AR645" s="50"/>
      <c r="AS645" s="51"/>
      <c r="AT645" s="50"/>
      <c r="AU645" s="50"/>
      <c r="AV645" s="73"/>
      <c r="AW645" s="50"/>
      <c r="AX645" s="50"/>
    </row>
    <row r="646" spans="14:50" x14ac:dyDescent="0.3">
      <c r="N646" s="50"/>
      <c r="O646" s="50"/>
      <c r="P646" s="50"/>
      <c r="Q646" s="50"/>
      <c r="R646" s="50"/>
      <c r="S646" s="51"/>
      <c r="T646" s="50"/>
      <c r="U646" s="50"/>
      <c r="V646" s="73"/>
      <c r="W646" s="50"/>
      <c r="X646" s="50"/>
      <c r="AN646" s="50"/>
      <c r="AO646" s="50"/>
      <c r="AP646" s="50"/>
      <c r="AQ646" s="50"/>
      <c r="AR646" s="50"/>
      <c r="AS646" s="51"/>
      <c r="AT646" s="50"/>
      <c r="AU646" s="50"/>
      <c r="AV646" s="73"/>
      <c r="AW646" s="50"/>
      <c r="AX646" s="50"/>
    </row>
    <row r="647" spans="14:50" x14ac:dyDescent="0.3">
      <c r="N647" s="50"/>
      <c r="O647" s="50"/>
      <c r="P647" s="50"/>
      <c r="Q647" s="50"/>
      <c r="R647" s="50"/>
      <c r="S647" s="51"/>
      <c r="T647" s="50"/>
      <c r="U647" s="50"/>
      <c r="V647" s="73"/>
      <c r="W647" s="50"/>
      <c r="X647" s="50"/>
      <c r="AN647" s="50"/>
      <c r="AO647" s="50"/>
      <c r="AP647" s="50"/>
      <c r="AQ647" s="50"/>
      <c r="AR647" s="50"/>
      <c r="AS647" s="51"/>
      <c r="AT647" s="50"/>
      <c r="AU647" s="50"/>
      <c r="AV647" s="73"/>
      <c r="AW647" s="50"/>
      <c r="AX647" s="50"/>
    </row>
    <row r="648" spans="14:50" x14ac:dyDescent="0.3">
      <c r="N648" s="50"/>
      <c r="O648" s="50"/>
      <c r="P648" s="50"/>
      <c r="Q648" s="50"/>
      <c r="R648" s="50"/>
      <c r="S648" s="51"/>
      <c r="T648" s="50"/>
      <c r="U648" s="50"/>
      <c r="V648" s="73"/>
      <c r="W648" s="50"/>
      <c r="X648" s="50"/>
      <c r="AN648" s="50"/>
      <c r="AO648" s="50"/>
      <c r="AP648" s="50"/>
      <c r="AQ648" s="50"/>
      <c r="AR648" s="50"/>
      <c r="AS648" s="51"/>
      <c r="AT648" s="50"/>
      <c r="AU648" s="50"/>
      <c r="AV648" s="73"/>
      <c r="AW648" s="50"/>
      <c r="AX648" s="50"/>
    </row>
    <row r="649" spans="14:50" x14ac:dyDescent="0.3">
      <c r="N649" s="50"/>
      <c r="O649" s="50"/>
      <c r="P649" s="50"/>
      <c r="Q649" s="50"/>
      <c r="R649" s="50"/>
      <c r="S649" s="51"/>
      <c r="T649" s="50"/>
      <c r="U649" s="50"/>
      <c r="V649" s="73"/>
      <c r="W649" s="50"/>
      <c r="X649" s="50"/>
      <c r="AN649" s="50"/>
      <c r="AO649" s="50"/>
      <c r="AP649" s="50"/>
      <c r="AQ649" s="50"/>
      <c r="AR649" s="50"/>
      <c r="AS649" s="51"/>
      <c r="AT649" s="50"/>
      <c r="AU649" s="50"/>
      <c r="AV649" s="73"/>
      <c r="AW649" s="50"/>
      <c r="AX649" s="50"/>
    </row>
    <row r="650" spans="14:50" x14ac:dyDescent="0.3">
      <c r="N650" s="50"/>
      <c r="O650" s="50"/>
      <c r="P650" s="50"/>
      <c r="Q650" s="50"/>
      <c r="R650" s="50"/>
      <c r="S650" s="51"/>
      <c r="T650" s="50"/>
      <c r="U650" s="50"/>
      <c r="V650" s="73"/>
      <c r="W650" s="50"/>
      <c r="X650" s="50"/>
      <c r="AN650" s="50"/>
      <c r="AO650" s="50"/>
      <c r="AP650" s="50"/>
      <c r="AQ650" s="50"/>
      <c r="AR650" s="50"/>
      <c r="AS650" s="51"/>
      <c r="AT650" s="50"/>
      <c r="AU650" s="50"/>
      <c r="AV650" s="73"/>
      <c r="AW650" s="50"/>
      <c r="AX650" s="50"/>
    </row>
    <row r="651" spans="14:50" x14ac:dyDescent="0.3">
      <c r="N651" s="50"/>
      <c r="O651" s="50"/>
      <c r="P651" s="50"/>
      <c r="Q651" s="50"/>
      <c r="R651" s="50"/>
      <c r="S651" s="51"/>
      <c r="T651" s="50"/>
      <c r="U651" s="50"/>
      <c r="V651" s="73"/>
      <c r="W651" s="50"/>
      <c r="X651" s="50"/>
      <c r="AN651" s="50"/>
      <c r="AO651" s="50"/>
      <c r="AP651" s="50"/>
      <c r="AQ651" s="50"/>
      <c r="AR651" s="50"/>
      <c r="AS651" s="51"/>
      <c r="AT651" s="50"/>
      <c r="AU651" s="50"/>
      <c r="AV651" s="73"/>
      <c r="AW651" s="50"/>
      <c r="AX651" s="50"/>
    </row>
    <row r="652" spans="14:50" x14ac:dyDescent="0.3">
      <c r="N652" s="50"/>
      <c r="O652" s="50"/>
      <c r="P652" s="50"/>
      <c r="Q652" s="50"/>
      <c r="R652" s="50"/>
      <c r="S652" s="51"/>
      <c r="T652" s="50"/>
      <c r="U652" s="50"/>
      <c r="V652" s="73"/>
      <c r="W652" s="50"/>
      <c r="X652" s="50"/>
      <c r="AN652" s="50"/>
      <c r="AO652" s="50"/>
      <c r="AP652" s="50"/>
      <c r="AQ652" s="50"/>
      <c r="AR652" s="50"/>
      <c r="AS652" s="51"/>
      <c r="AT652" s="50"/>
      <c r="AU652" s="50"/>
      <c r="AV652" s="73"/>
      <c r="AW652" s="50"/>
      <c r="AX652" s="50"/>
    </row>
    <row r="653" spans="14:50" x14ac:dyDescent="0.3">
      <c r="N653" s="50"/>
      <c r="O653" s="50"/>
      <c r="P653" s="50"/>
      <c r="Q653" s="50"/>
      <c r="R653" s="50"/>
      <c r="S653" s="51"/>
      <c r="T653" s="50"/>
      <c r="U653" s="50"/>
      <c r="V653" s="73"/>
      <c r="W653" s="50"/>
      <c r="X653" s="50"/>
      <c r="AN653" s="50"/>
      <c r="AO653" s="50"/>
      <c r="AP653" s="50"/>
      <c r="AQ653" s="50"/>
      <c r="AR653" s="50"/>
      <c r="AS653" s="51"/>
      <c r="AT653" s="50"/>
      <c r="AU653" s="50"/>
      <c r="AV653" s="73"/>
      <c r="AW653" s="50"/>
      <c r="AX653" s="50"/>
    </row>
    <row r="654" spans="14:50" x14ac:dyDescent="0.3">
      <c r="N654" s="50"/>
      <c r="O654" s="50"/>
      <c r="P654" s="50"/>
      <c r="Q654" s="50"/>
      <c r="R654" s="50"/>
      <c r="S654" s="51"/>
      <c r="T654" s="50"/>
      <c r="U654" s="50"/>
      <c r="V654" s="73"/>
      <c r="W654" s="50"/>
      <c r="X654" s="50"/>
      <c r="AN654" s="50"/>
      <c r="AO654" s="50"/>
      <c r="AP654" s="50"/>
      <c r="AQ654" s="50"/>
      <c r="AR654" s="50"/>
      <c r="AS654" s="51"/>
      <c r="AT654" s="50"/>
      <c r="AU654" s="50"/>
      <c r="AV654" s="73"/>
      <c r="AW654" s="50"/>
      <c r="AX654" s="50"/>
    </row>
    <row r="655" spans="14:50" x14ac:dyDescent="0.3">
      <c r="N655" s="50"/>
      <c r="O655" s="50"/>
      <c r="P655" s="50"/>
      <c r="Q655" s="50"/>
      <c r="R655" s="50"/>
      <c r="S655" s="51"/>
      <c r="T655" s="50"/>
      <c r="U655" s="50"/>
      <c r="V655" s="73"/>
      <c r="W655" s="50"/>
      <c r="X655" s="50"/>
      <c r="AN655" s="50"/>
      <c r="AO655" s="50"/>
      <c r="AP655" s="50"/>
      <c r="AQ655" s="50"/>
      <c r="AR655" s="50"/>
      <c r="AS655" s="51"/>
      <c r="AT655" s="50"/>
      <c r="AU655" s="50"/>
      <c r="AV655" s="73"/>
      <c r="AW655" s="50"/>
      <c r="AX655" s="50"/>
    </row>
    <row r="656" spans="14:50" x14ac:dyDescent="0.3">
      <c r="N656" s="50"/>
      <c r="O656" s="50"/>
      <c r="P656" s="50"/>
      <c r="Q656" s="50"/>
      <c r="R656" s="50"/>
      <c r="S656" s="51"/>
      <c r="T656" s="50"/>
      <c r="U656" s="50"/>
      <c r="V656" s="73"/>
      <c r="W656" s="50"/>
      <c r="X656" s="50"/>
      <c r="AN656" s="50"/>
      <c r="AO656" s="50"/>
      <c r="AP656" s="50"/>
      <c r="AQ656" s="50"/>
      <c r="AR656" s="50"/>
      <c r="AS656" s="51"/>
      <c r="AT656" s="50"/>
      <c r="AU656" s="50"/>
      <c r="AV656" s="73"/>
      <c r="AW656" s="50"/>
      <c r="AX656" s="50"/>
    </row>
    <row r="657" spans="14:50" x14ac:dyDescent="0.3">
      <c r="N657" s="50"/>
      <c r="O657" s="50"/>
      <c r="P657" s="50"/>
      <c r="Q657" s="50"/>
      <c r="R657" s="50"/>
      <c r="S657" s="51"/>
      <c r="T657" s="50"/>
      <c r="U657" s="50"/>
      <c r="V657" s="73"/>
      <c r="W657" s="50"/>
      <c r="X657" s="50"/>
      <c r="AN657" s="50"/>
      <c r="AO657" s="50"/>
      <c r="AP657" s="50"/>
      <c r="AQ657" s="50"/>
      <c r="AR657" s="50"/>
      <c r="AS657" s="51"/>
      <c r="AT657" s="50"/>
      <c r="AU657" s="50"/>
      <c r="AV657" s="73"/>
      <c r="AW657" s="50"/>
      <c r="AX657" s="50"/>
    </row>
    <row r="658" spans="14:50" x14ac:dyDescent="0.3">
      <c r="N658" s="50"/>
      <c r="O658" s="50"/>
      <c r="P658" s="50"/>
      <c r="Q658" s="50"/>
      <c r="R658" s="50"/>
      <c r="S658" s="51"/>
      <c r="T658" s="50"/>
      <c r="U658" s="50"/>
      <c r="V658" s="73"/>
      <c r="W658" s="50"/>
      <c r="X658" s="50"/>
      <c r="AN658" s="50"/>
      <c r="AO658" s="50"/>
      <c r="AP658" s="50"/>
      <c r="AQ658" s="50"/>
      <c r="AR658" s="50"/>
      <c r="AS658" s="51"/>
      <c r="AT658" s="50"/>
      <c r="AU658" s="50"/>
      <c r="AV658" s="73"/>
      <c r="AW658" s="50"/>
      <c r="AX658" s="50"/>
    </row>
    <row r="659" spans="14:50" x14ac:dyDescent="0.3">
      <c r="N659" s="50"/>
      <c r="O659" s="50"/>
      <c r="P659" s="50"/>
      <c r="Q659" s="50"/>
      <c r="R659" s="50"/>
      <c r="S659" s="51"/>
      <c r="T659" s="50"/>
      <c r="U659" s="50"/>
      <c r="V659" s="73"/>
      <c r="W659" s="50"/>
      <c r="X659" s="50"/>
      <c r="AN659" s="50"/>
      <c r="AO659" s="50"/>
      <c r="AP659" s="50"/>
      <c r="AQ659" s="50"/>
      <c r="AR659" s="50"/>
      <c r="AS659" s="51"/>
      <c r="AT659" s="50"/>
      <c r="AU659" s="50"/>
      <c r="AV659" s="73"/>
      <c r="AW659" s="50"/>
      <c r="AX659" s="50"/>
    </row>
    <row r="660" spans="14:50" x14ac:dyDescent="0.3">
      <c r="N660" s="50"/>
      <c r="O660" s="50"/>
      <c r="P660" s="50"/>
      <c r="Q660" s="50"/>
      <c r="R660" s="50"/>
      <c r="S660" s="51"/>
      <c r="T660" s="50"/>
      <c r="U660" s="50"/>
      <c r="V660" s="73"/>
      <c r="W660" s="50"/>
      <c r="X660" s="50"/>
      <c r="AN660" s="50"/>
      <c r="AO660" s="50"/>
      <c r="AP660" s="50"/>
      <c r="AQ660" s="50"/>
      <c r="AR660" s="50"/>
      <c r="AS660" s="51"/>
      <c r="AT660" s="50"/>
      <c r="AU660" s="50"/>
      <c r="AV660" s="73"/>
      <c r="AW660" s="50"/>
      <c r="AX660" s="50"/>
    </row>
    <row r="661" spans="14:50" x14ac:dyDescent="0.3">
      <c r="N661" s="50"/>
      <c r="O661" s="50"/>
      <c r="P661" s="50"/>
      <c r="Q661" s="50"/>
      <c r="R661" s="50"/>
      <c r="S661" s="51"/>
      <c r="T661" s="50"/>
      <c r="U661" s="50"/>
      <c r="V661" s="73"/>
      <c r="W661" s="50"/>
      <c r="X661" s="50"/>
      <c r="AN661" s="50"/>
      <c r="AO661" s="50"/>
      <c r="AP661" s="50"/>
      <c r="AQ661" s="50"/>
      <c r="AR661" s="50"/>
      <c r="AS661" s="51"/>
      <c r="AT661" s="50"/>
      <c r="AU661" s="50"/>
      <c r="AV661" s="73"/>
      <c r="AW661" s="50"/>
      <c r="AX661" s="50"/>
    </row>
    <row r="662" spans="14:50" x14ac:dyDescent="0.3">
      <c r="N662" s="50"/>
      <c r="O662" s="50"/>
      <c r="P662" s="50"/>
      <c r="Q662" s="50"/>
      <c r="R662" s="50"/>
      <c r="S662" s="51"/>
      <c r="T662" s="50"/>
      <c r="U662" s="50"/>
      <c r="V662" s="73"/>
      <c r="W662" s="50"/>
      <c r="X662" s="50"/>
      <c r="AN662" s="50"/>
      <c r="AO662" s="50"/>
      <c r="AP662" s="50"/>
      <c r="AQ662" s="50"/>
      <c r="AR662" s="50"/>
      <c r="AS662" s="51"/>
      <c r="AT662" s="50"/>
      <c r="AU662" s="50"/>
      <c r="AV662" s="73"/>
      <c r="AW662" s="50"/>
      <c r="AX662" s="50"/>
    </row>
    <row r="663" spans="14:50" x14ac:dyDescent="0.3">
      <c r="N663" s="50"/>
      <c r="O663" s="50"/>
      <c r="P663" s="50"/>
      <c r="Q663" s="50"/>
      <c r="R663" s="50"/>
      <c r="S663" s="51"/>
      <c r="T663" s="50"/>
      <c r="U663" s="50"/>
      <c r="V663" s="73"/>
      <c r="W663" s="50"/>
      <c r="X663" s="50"/>
      <c r="AN663" s="50"/>
      <c r="AO663" s="50"/>
      <c r="AP663" s="50"/>
      <c r="AQ663" s="50"/>
      <c r="AR663" s="50"/>
      <c r="AS663" s="51"/>
      <c r="AT663" s="50"/>
      <c r="AU663" s="50"/>
      <c r="AV663" s="73"/>
      <c r="AW663" s="50"/>
      <c r="AX663" s="50"/>
    </row>
    <row r="664" spans="14:50" x14ac:dyDescent="0.3">
      <c r="N664" s="50"/>
      <c r="O664" s="50"/>
      <c r="P664" s="50"/>
      <c r="Q664" s="50"/>
      <c r="R664" s="50"/>
      <c r="S664" s="51"/>
      <c r="T664" s="50"/>
      <c r="U664" s="50"/>
      <c r="V664" s="73"/>
      <c r="W664" s="50"/>
      <c r="X664" s="50"/>
      <c r="AN664" s="50"/>
      <c r="AO664" s="50"/>
      <c r="AP664" s="50"/>
      <c r="AQ664" s="50"/>
      <c r="AR664" s="50"/>
      <c r="AS664" s="51"/>
      <c r="AT664" s="50"/>
      <c r="AU664" s="50"/>
      <c r="AV664" s="73"/>
      <c r="AW664" s="50"/>
      <c r="AX664" s="50"/>
    </row>
    <row r="665" spans="14:50" x14ac:dyDescent="0.3">
      <c r="N665" s="50"/>
      <c r="O665" s="50"/>
      <c r="P665" s="50"/>
      <c r="Q665" s="50"/>
      <c r="R665" s="50"/>
      <c r="S665" s="51"/>
      <c r="T665" s="50"/>
      <c r="U665" s="50"/>
      <c r="V665" s="73"/>
      <c r="W665" s="50"/>
      <c r="X665" s="50"/>
      <c r="AN665" s="50"/>
      <c r="AO665" s="50"/>
      <c r="AP665" s="50"/>
      <c r="AQ665" s="50"/>
      <c r="AR665" s="50"/>
      <c r="AS665" s="51"/>
      <c r="AT665" s="50"/>
      <c r="AU665" s="50"/>
      <c r="AV665" s="73"/>
      <c r="AW665" s="50"/>
      <c r="AX665" s="50"/>
    </row>
    <row r="666" spans="14:50" x14ac:dyDescent="0.3">
      <c r="N666" s="50"/>
      <c r="O666" s="50"/>
      <c r="P666" s="50"/>
      <c r="Q666" s="50"/>
      <c r="R666" s="50"/>
      <c r="S666" s="51"/>
      <c r="T666" s="50"/>
      <c r="U666" s="50"/>
      <c r="V666" s="73"/>
      <c r="W666" s="50"/>
      <c r="X666" s="50"/>
      <c r="AN666" s="50"/>
      <c r="AO666" s="50"/>
      <c r="AP666" s="50"/>
      <c r="AQ666" s="50"/>
      <c r="AR666" s="50"/>
      <c r="AS666" s="51"/>
      <c r="AT666" s="50"/>
      <c r="AU666" s="50"/>
      <c r="AV666" s="73"/>
      <c r="AW666" s="50"/>
      <c r="AX666" s="50"/>
    </row>
    <row r="667" spans="14:50" x14ac:dyDescent="0.3">
      <c r="N667" s="50"/>
      <c r="O667" s="50"/>
      <c r="P667" s="50"/>
      <c r="Q667" s="50"/>
      <c r="R667" s="50"/>
      <c r="S667" s="51"/>
      <c r="T667" s="50"/>
      <c r="U667" s="50"/>
      <c r="V667" s="73"/>
      <c r="W667" s="50"/>
      <c r="X667" s="50"/>
      <c r="AN667" s="50"/>
      <c r="AO667" s="50"/>
      <c r="AP667" s="50"/>
      <c r="AQ667" s="50"/>
      <c r="AR667" s="50"/>
      <c r="AS667" s="51"/>
      <c r="AT667" s="50"/>
      <c r="AU667" s="50"/>
      <c r="AV667" s="73"/>
      <c r="AW667" s="50"/>
      <c r="AX667" s="50"/>
    </row>
    <row r="668" spans="14:50" x14ac:dyDescent="0.3">
      <c r="N668" s="50"/>
      <c r="O668" s="50"/>
      <c r="P668" s="50"/>
      <c r="Q668" s="50"/>
      <c r="R668" s="50"/>
      <c r="S668" s="51"/>
      <c r="T668" s="50"/>
      <c r="U668" s="50"/>
      <c r="V668" s="73"/>
      <c r="W668" s="50"/>
      <c r="X668" s="50"/>
      <c r="AN668" s="50"/>
      <c r="AO668" s="50"/>
      <c r="AP668" s="50"/>
      <c r="AQ668" s="50"/>
      <c r="AR668" s="50"/>
      <c r="AS668" s="51"/>
      <c r="AT668" s="50"/>
      <c r="AU668" s="50"/>
      <c r="AV668" s="73"/>
      <c r="AW668" s="50"/>
      <c r="AX668" s="50"/>
    </row>
    <row r="669" spans="14:50" x14ac:dyDescent="0.3">
      <c r="N669" s="50"/>
      <c r="O669" s="50"/>
      <c r="P669" s="50"/>
      <c r="Q669" s="50"/>
      <c r="R669" s="50"/>
      <c r="S669" s="51"/>
      <c r="T669" s="50"/>
      <c r="U669" s="50"/>
      <c r="V669" s="73"/>
      <c r="W669" s="50"/>
      <c r="X669" s="50"/>
      <c r="AN669" s="50"/>
      <c r="AO669" s="50"/>
      <c r="AP669" s="50"/>
      <c r="AQ669" s="50"/>
      <c r="AR669" s="50"/>
      <c r="AS669" s="51"/>
      <c r="AT669" s="50"/>
      <c r="AU669" s="50"/>
      <c r="AV669" s="73"/>
      <c r="AW669" s="50"/>
      <c r="AX669" s="50"/>
    </row>
    <row r="670" spans="14:50" x14ac:dyDescent="0.3">
      <c r="N670" s="50"/>
      <c r="O670" s="50"/>
      <c r="P670" s="50"/>
      <c r="Q670" s="50"/>
      <c r="R670" s="50"/>
      <c r="S670" s="51"/>
      <c r="T670" s="50"/>
      <c r="U670" s="50"/>
      <c r="V670" s="73"/>
      <c r="W670" s="50"/>
      <c r="X670" s="50"/>
      <c r="AN670" s="50"/>
      <c r="AO670" s="50"/>
      <c r="AP670" s="50"/>
      <c r="AQ670" s="50"/>
      <c r="AR670" s="50"/>
      <c r="AS670" s="51"/>
      <c r="AT670" s="50"/>
      <c r="AU670" s="50"/>
      <c r="AV670" s="73"/>
      <c r="AW670" s="50"/>
      <c r="AX670" s="50"/>
    </row>
    <row r="671" spans="14:50" x14ac:dyDescent="0.3">
      <c r="N671" s="50"/>
      <c r="O671" s="50"/>
      <c r="P671" s="50"/>
      <c r="Q671" s="50"/>
      <c r="R671" s="50"/>
      <c r="S671" s="51"/>
      <c r="T671" s="50"/>
      <c r="U671" s="50"/>
      <c r="V671" s="73"/>
      <c r="W671" s="50"/>
      <c r="X671" s="50"/>
      <c r="AN671" s="50"/>
      <c r="AO671" s="50"/>
      <c r="AP671" s="50"/>
      <c r="AQ671" s="50"/>
      <c r="AR671" s="50"/>
      <c r="AS671" s="51"/>
      <c r="AT671" s="50"/>
      <c r="AU671" s="50"/>
      <c r="AV671" s="73"/>
      <c r="AW671" s="50"/>
      <c r="AX671" s="50"/>
    </row>
    <row r="672" spans="14:50" x14ac:dyDescent="0.3">
      <c r="N672" s="50"/>
      <c r="O672" s="50"/>
      <c r="P672" s="50"/>
      <c r="Q672" s="50"/>
      <c r="R672" s="50"/>
      <c r="S672" s="51"/>
      <c r="T672" s="50"/>
      <c r="U672" s="50"/>
      <c r="V672" s="73"/>
      <c r="W672" s="50"/>
      <c r="X672" s="50"/>
      <c r="AN672" s="50"/>
      <c r="AO672" s="50"/>
      <c r="AP672" s="50"/>
      <c r="AQ672" s="50"/>
      <c r="AR672" s="50"/>
      <c r="AS672" s="51"/>
      <c r="AT672" s="50"/>
      <c r="AU672" s="50"/>
      <c r="AV672" s="73"/>
      <c r="AW672" s="50"/>
      <c r="AX672" s="50"/>
    </row>
    <row r="673" spans="14:50" x14ac:dyDescent="0.3">
      <c r="N673" s="50"/>
      <c r="O673" s="50"/>
      <c r="P673" s="50"/>
      <c r="Q673" s="50"/>
      <c r="R673" s="50"/>
      <c r="S673" s="51"/>
      <c r="T673" s="50"/>
      <c r="U673" s="50"/>
      <c r="V673" s="73"/>
      <c r="W673" s="50"/>
      <c r="X673" s="50"/>
      <c r="AN673" s="50"/>
      <c r="AO673" s="50"/>
      <c r="AP673" s="50"/>
      <c r="AQ673" s="50"/>
      <c r="AR673" s="50"/>
      <c r="AS673" s="51"/>
      <c r="AT673" s="50"/>
      <c r="AU673" s="50"/>
      <c r="AV673" s="73"/>
      <c r="AW673" s="50"/>
      <c r="AX673" s="50"/>
    </row>
    <row r="674" spans="14:50" x14ac:dyDescent="0.3">
      <c r="N674" s="50"/>
      <c r="O674" s="50"/>
      <c r="P674" s="50"/>
      <c r="Q674" s="50"/>
      <c r="R674" s="50"/>
      <c r="S674" s="51"/>
      <c r="T674" s="50"/>
      <c r="U674" s="50"/>
      <c r="V674" s="73"/>
      <c r="W674" s="50"/>
      <c r="X674" s="50"/>
      <c r="AN674" s="50"/>
      <c r="AO674" s="50"/>
      <c r="AP674" s="50"/>
      <c r="AQ674" s="50"/>
      <c r="AR674" s="50"/>
      <c r="AS674" s="51"/>
      <c r="AT674" s="50"/>
      <c r="AU674" s="50"/>
      <c r="AV674" s="73"/>
      <c r="AW674" s="50"/>
      <c r="AX674" s="50"/>
    </row>
    <row r="675" spans="14:50" x14ac:dyDescent="0.3">
      <c r="N675" s="50"/>
      <c r="O675" s="50"/>
      <c r="P675" s="50"/>
      <c r="Q675" s="50"/>
      <c r="R675" s="50"/>
      <c r="S675" s="51"/>
      <c r="T675" s="50"/>
      <c r="U675" s="50"/>
      <c r="V675" s="73"/>
      <c r="W675" s="50"/>
      <c r="X675" s="50"/>
      <c r="AN675" s="50"/>
      <c r="AO675" s="50"/>
      <c r="AP675" s="50"/>
      <c r="AQ675" s="50"/>
      <c r="AR675" s="50"/>
      <c r="AS675" s="51"/>
      <c r="AT675" s="50"/>
      <c r="AU675" s="50"/>
      <c r="AV675" s="73"/>
      <c r="AW675" s="50"/>
      <c r="AX675" s="50"/>
    </row>
    <row r="676" spans="14:50" x14ac:dyDescent="0.3">
      <c r="N676" s="50"/>
      <c r="O676" s="50"/>
      <c r="P676" s="50"/>
      <c r="Q676" s="50"/>
      <c r="R676" s="50"/>
      <c r="S676" s="51"/>
      <c r="T676" s="50"/>
      <c r="U676" s="50"/>
      <c r="V676" s="73"/>
      <c r="W676" s="50"/>
      <c r="X676" s="50"/>
      <c r="AN676" s="50"/>
      <c r="AO676" s="50"/>
      <c r="AP676" s="50"/>
      <c r="AQ676" s="50"/>
      <c r="AR676" s="50"/>
      <c r="AS676" s="51"/>
      <c r="AT676" s="50"/>
      <c r="AU676" s="50"/>
      <c r="AV676" s="73"/>
      <c r="AW676" s="50"/>
      <c r="AX676" s="50"/>
    </row>
    <row r="677" spans="14:50" x14ac:dyDescent="0.3">
      <c r="N677" s="50"/>
      <c r="O677" s="50"/>
      <c r="P677" s="50"/>
      <c r="Q677" s="50"/>
      <c r="R677" s="50"/>
      <c r="S677" s="51"/>
      <c r="T677" s="50"/>
      <c r="U677" s="50"/>
      <c r="V677" s="73"/>
      <c r="W677" s="50"/>
      <c r="X677" s="50"/>
      <c r="AN677" s="50"/>
      <c r="AO677" s="50"/>
      <c r="AP677" s="50"/>
      <c r="AQ677" s="50"/>
      <c r="AR677" s="50"/>
      <c r="AS677" s="51"/>
      <c r="AT677" s="50"/>
      <c r="AU677" s="50"/>
      <c r="AV677" s="73"/>
      <c r="AW677" s="50"/>
      <c r="AX677" s="50"/>
    </row>
    <row r="678" spans="14:50" x14ac:dyDescent="0.3">
      <c r="N678" s="50"/>
      <c r="O678" s="50"/>
      <c r="P678" s="50"/>
      <c r="Q678" s="50"/>
      <c r="R678" s="50"/>
      <c r="S678" s="51"/>
      <c r="T678" s="50"/>
      <c r="U678" s="50"/>
      <c r="V678" s="73"/>
      <c r="W678" s="50"/>
      <c r="X678" s="50"/>
      <c r="AN678" s="50"/>
      <c r="AO678" s="50"/>
      <c r="AP678" s="50"/>
      <c r="AQ678" s="50"/>
      <c r="AR678" s="50"/>
      <c r="AS678" s="51"/>
      <c r="AT678" s="50"/>
      <c r="AU678" s="50"/>
      <c r="AV678" s="73"/>
      <c r="AW678" s="50"/>
      <c r="AX678" s="50"/>
    </row>
    <row r="679" spans="14:50" x14ac:dyDescent="0.3">
      <c r="N679" s="50"/>
      <c r="O679" s="50"/>
      <c r="P679" s="50"/>
      <c r="Q679" s="50"/>
      <c r="R679" s="50"/>
      <c r="S679" s="51"/>
      <c r="T679" s="50"/>
      <c r="U679" s="50"/>
      <c r="V679" s="73"/>
      <c r="W679" s="50"/>
      <c r="X679" s="50"/>
      <c r="AN679" s="50"/>
      <c r="AO679" s="50"/>
      <c r="AP679" s="50"/>
      <c r="AQ679" s="50"/>
      <c r="AR679" s="50"/>
      <c r="AS679" s="51"/>
      <c r="AT679" s="50"/>
      <c r="AU679" s="50"/>
      <c r="AV679" s="73"/>
      <c r="AW679" s="50"/>
      <c r="AX679" s="50"/>
    </row>
    <row r="680" spans="14:50" x14ac:dyDescent="0.3">
      <c r="N680" s="50"/>
      <c r="O680" s="50"/>
      <c r="P680" s="50"/>
      <c r="Q680" s="50"/>
      <c r="R680" s="50"/>
      <c r="S680" s="51"/>
      <c r="T680" s="50"/>
      <c r="U680" s="50"/>
      <c r="V680" s="73"/>
      <c r="W680" s="50"/>
      <c r="X680" s="50"/>
      <c r="AN680" s="50"/>
      <c r="AO680" s="50"/>
      <c r="AP680" s="50"/>
      <c r="AQ680" s="50"/>
      <c r="AR680" s="50"/>
      <c r="AS680" s="51"/>
      <c r="AT680" s="50"/>
      <c r="AU680" s="50"/>
      <c r="AV680" s="73"/>
      <c r="AW680" s="50"/>
      <c r="AX680" s="50"/>
    </row>
    <row r="681" spans="14:50" x14ac:dyDescent="0.3">
      <c r="N681" s="50"/>
      <c r="O681" s="50"/>
      <c r="P681" s="50"/>
      <c r="Q681" s="50"/>
      <c r="R681" s="50"/>
      <c r="S681" s="51"/>
      <c r="T681" s="50"/>
      <c r="U681" s="50"/>
      <c r="V681" s="73"/>
      <c r="W681" s="50"/>
      <c r="X681" s="50"/>
      <c r="AN681" s="50"/>
      <c r="AO681" s="50"/>
      <c r="AP681" s="50"/>
      <c r="AQ681" s="50"/>
      <c r="AR681" s="50"/>
      <c r="AS681" s="51"/>
      <c r="AT681" s="50"/>
      <c r="AU681" s="50"/>
      <c r="AV681" s="73"/>
      <c r="AW681" s="50"/>
      <c r="AX681" s="50"/>
    </row>
    <row r="682" spans="14:50" x14ac:dyDescent="0.3">
      <c r="N682" s="50"/>
      <c r="O682" s="50"/>
      <c r="P682" s="50"/>
      <c r="Q682" s="50"/>
      <c r="R682" s="50"/>
      <c r="S682" s="51"/>
      <c r="T682" s="50"/>
      <c r="U682" s="50"/>
      <c r="V682" s="73"/>
      <c r="W682" s="50"/>
      <c r="X682" s="50"/>
      <c r="AN682" s="50"/>
      <c r="AO682" s="50"/>
      <c r="AP682" s="50"/>
      <c r="AQ682" s="50"/>
      <c r="AR682" s="50"/>
      <c r="AS682" s="51"/>
      <c r="AT682" s="50"/>
      <c r="AU682" s="50"/>
      <c r="AV682" s="73"/>
      <c r="AW682" s="50"/>
      <c r="AX682" s="50"/>
    </row>
    <row r="683" spans="14:50" x14ac:dyDescent="0.3">
      <c r="N683" s="50"/>
      <c r="O683" s="50"/>
      <c r="P683" s="50"/>
      <c r="Q683" s="50"/>
      <c r="R683" s="50"/>
      <c r="S683" s="51"/>
      <c r="T683" s="50"/>
      <c r="U683" s="50"/>
      <c r="V683" s="73"/>
      <c r="W683" s="50"/>
      <c r="X683" s="50"/>
      <c r="AN683" s="50"/>
      <c r="AO683" s="50"/>
      <c r="AP683" s="50"/>
      <c r="AQ683" s="50"/>
      <c r="AR683" s="50"/>
      <c r="AS683" s="51"/>
      <c r="AT683" s="50"/>
      <c r="AU683" s="50"/>
      <c r="AV683" s="73"/>
      <c r="AW683" s="50"/>
      <c r="AX683" s="50"/>
    </row>
    <row r="684" spans="14:50" x14ac:dyDescent="0.3">
      <c r="N684" s="50"/>
      <c r="O684" s="50"/>
      <c r="P684" s="50"/>
      <c r="Q684" s="50"/>
      <c r="R684" s="50"/>
      <c r="S684" s="51"/>
      <c r="T684" s="50"/>
      <c r="U684" s="50"/>
      <c r="V684" s="73"/>
      <c r="W684" s="50"/>
      <c r="X684" s="50"/>
      <c r="AN684" s="50"/>
      <c r="AO684" s="50"/>
      <c r="AP684" s="50"/>
      <c r="AQ684" s="50"/>
      <c r="AR684" s="50"/>
      <c r="AS684" s="51"/>
      <c r="AT684" s="50"/>
      <c r="AU684" s="50"/>
      <c r="AV684" s="73"/>
      <c r="AW684" s="50"/>
      <c r="AX684" s="50"/>
    </row>
    <row r="685" spans="14:50" x14ac:dyDescent="0.3">
      <c r="N685" s="50"/>
      <c r="O685" s="50"/>
      <c r="P685" s="50"/>
      <c r="Q685" s="50"/>
      <c r="R685" s="50"/>
      <c r="S685" s="51"/>
      <c r="T685" s="50"/>
      <c r="U685" s="50"/>
      <c r="V685" s="73"/>
      <c r="W685" s="50"/>
      <c r="X685" s="50"/>
      <c r="AN685" s="50"/>
      <c r="AO685" s="50"/>
      <c r="AP685" s="50"/>
      <c r="AQ685" s="50"/>
      <c r="AR685" s="50"/>
      <c r="AS685" s="51"/>
      <c r="AT685" s="50"/>
      <c r="AU685" s="50"/>
      <c r="AV685" s="73"/>
      <c r="AW685" s="50"/>
      <c r="AX685" s="50"/>
    </row>
    <row r="686" spans="14:50" x14ac:dyDescent="0.3">
      <c r="N686" s="50"/>
      <c r="O686" s="50"/>
      <c r="P686" s="50"/>
      <c r="Q686" s="50"/>
      <c r="R686" s="50"/>
      <c r="S686" s="51"/>
      <c r="T686" s="50"/>
      <c r="U686" s="50"/>
      <c r="V686" s="73"/>
      <c r="W686" s="50"/>
      <c r="X686" s="50"/>
      <c r="AN686" s="50"/>
      <c r="AO686" s="50"/>
      <c r="AP686" s="50"/>
      <c r="AQ686" s="50"/>
      <c r="AR686" s="50"/>
      <c r="AS686" s="51"/>
      <c r="AT686" s="50"/>
      <c r="AU686" s="50"/>
      <c r="AV686" s="73"/>
      <c r="AW686" s="50"/>
      <c r="AX686" s="50"/>
    </row>
    <row r="687" spans="14:50" x14ac:dyDescent="0.3">
      <c r="N687" s="50"/>
      <c r="O687" s="50"/>
      <c r="P687" s="50"/>
      <c r="Q687" s="50"/>
      <c r="R687" s="50"/>
      <c r="S687" s="51"/>
      <c r="T687" s="50"/>
      <c r="U687" s="50"/>
      <c r="V687" s="73"/>
      <c r="W687" s="50"/>
      <c r="X687" s="50"/>
      <c r="AN687" s="50"/>
      <c r="AO687" s="50"/>
      <c r="AP687" s="50"/>
      <c r="AQ687" s="50"/>
      <c r="AR687" s="50"/>
      <c r="AS687" s="51"/>
      <c r="AT687" s="50"/>
      <c r="AU687" s="50"/>
      <c r="AV687" s="73"/>
      <c r="AW687" s="50"/>
      <c r="AX687" s="50"/>
    </row>
    <row r="688" spans="14:50" x14ac:dyDescent="0.3">
      <c r="N688" s="50"/>
      <c r="O688" s="50"/>
      <c r="P688" s="50"/>
      <c r="Q688" s="50"/>
      <c r="R688" s="50"/>
      <c r="S688" s="51"/>
      <c r="T688" s="50"/>
      <c r="U688" s="50"/>
      <c r="V688" s="73"/>
      <c r="W688" s="50"/>
      <c r="X688" s="50"/>
      <c r="AN688" s="50"/>
      <c r="AO688" s="50"/>
      <c r="AP688" s="50"/>
      <c r="AQ688" s="50"/>
      <c r="AR688" s="50"/>
      <c r="AS688" s="51"/>
      <c r="AT688" s="50"/>
      <c r="AU688" s="50"/>
      <c r="AV688" s="73"/>
      <c r="AW688" s="50"/>
      <c r="AX688" s="50"/>
    </row>
    <row r="689" spans="14:50" x14ac:dyDescent="0.3">
      <c r="N689" s="50"/>
      <c r="O689" s="50"/>
      <c r="P689" s="50"/>
      <c r="Q689" s="50"/>
      <c r="R689" s="50"/>
      <c r="S689" s="51"/>
      <c r="T689" s="50"/>
      <c r="U689" s="50"/>
      <c r="V689" s="73"/>
      <c r="W689" s="50"/>
      <c r="X689" s="50"/>
      <c r="AN689" s="50"/>
      <c r="AO689" s="50"/>
      <c r="AP689" s="50"/>
      <c r="AQ689" s="50"/>
      <c r="AR689" s="50"/>
      <c r="AS689" s="51"/>
      <c r="AT689" s="50"/>
      <c r="AU689" s="50"/>
      <c r="AV689" s="73"/>
      <c r="AW689" s="50"/>
      <c r="AX689" s="50"/>
    </row>
    <row r="690" spans="14:50" x14ac:dyDescent="0.3">
      <c r="N690" s="50"/>
      <c r="O690" s="50"/>
      <c r="P690" s="50"/>
      <c r="Q690" s="50"/>
      <c r="R690" s="50"/>
      <c r="S690" s="51"/>
      <c r="T690" s="50"/>
      <c r="U690" s="50"/>
      <c r="V690" s="73"/>
      <c r="W690" s="50"/>
      <c r="X690" s="50"/>
      <c r="AN690" s="50"/>
      <c r="AO690" s="50"/>
      <c r="AP690" s="50"/>
      <c r="AQ690" s="50"/>
      <c r="AR690" s="50"/>
      <c r="AS690" s="51"/>
      <c r="AT690" s="50"/>
      <c r="AU690" s="50"/>
      <c r="AV690" s="73"/>
      <c r="AW690" s="50"/>
      <c r="AX690" s="50"/>
    </row>
    <row r="691" spans="14:50" x14ac:dyDescent="0.3">
      <c r="N691" s="50"/>
      <c r="O691" s="50"/>
      <c r="P691" s="50"/>
      <c r="Q691" s="50"/>
      <c r="R691" s="50"/>
      <c r="S691" s="51"/>
      <c r="T691" s="50"/>
      <c r="U691" s="50"/>
      <c r="V691" s="73"/>
      <c r="W691" s="50"/>
      <c r="X691" s="50"/>
      <c r="AN691" s="50"/>
      <c r="AO691" s="50"/>
      <c r="AP691" s="50"/>
      <c r="AQ691" s="50"/>
      <c r="AR691" s="50"/>
      <c r="AS691" s="51"/>
      <c r="AT691" s="50"/>
      <c r="AU691" s="50"/>
      <c r="AV691" s="73"/>
      <c r="AW691" s="50"/>
      <c r="AX691" s="50"/>
    </row>
    <row r="692" spans="14:50" x14ac:dyDescent="0.3">
      <c r="N692" s="50"/>
      <c r="O692" s="50"/>
      <c r="P692" s="50"/>
      <c r="Q692" s="50"/>
      <c r="R692" s="50"/>
      <c r="S692" s="51"/>
      <c r="T692" s="50"/>
      <c r="U692" s="50"/>
      <c r="V692" s="73"/>
      <c r="W692" s="50"/>
      <c r="X692" s="50"/>
      <c r="AN692" s="50"/>
      <c r="AO692" s="50"/>
      <c r="AP692" s="50"/>
      <c r="AQ692" s="50"/>
      <c r="AR692" s="50"/>
      <c r="AS692" s="51"/>
      <c r="AT692" s="50"/>
      <c r="AU692" s="50"/>
      <c r="AV692" s="73"/>
      <c r="AW692" s="50"/>
      <c r="AX692" s="50"/>
    </row>
    <row r="693" spans="14:50" x14ac:dyDescent="0.3">
      <c r="N693" s="50"/>
      <c r="O693" s="50"/>
      <c r="P693" s="50"/>
      <c r="Q693" s="50"/>
      <c r="R693" s="50"/>
      <c r="S693" s="51"/>
      <c r="T693" s="50"/>
      <c r="U693" s="50"/>
      <c r="V693" s="73"/>
      <c r="W693" s="50"/>
      <c r="X693" s="50"/>
      <c r="AN693" s="50"/>
      <c r="AO693" s="50"/>
      <c r="AP693" s="50"/>
      <c r="AQ693" s="50"/>
      <c r="AR693" s="50"/>
      <c r="AS693" s="51"/>
      <c r="AT693" s="50"/>
      <c r="AU693" s="50"/>
      <c r="AV693" s="73"/>
      <c r="AW693" s="50"/>
      <c r="AX693" s="50"/>
    </row>
    <row r="694" spans="14:50" x14ac:dyDescent="0.3">
      <c r="N694" s="50"/>
      <c r="O694" s="50"/>
      <c r="P694" s="50"/>
      <c r="Q694" s="50"/>
      <c r="R694" s="50"/>
      <c r="S694" s="51"/>
      <c r="T694" s="50"/>
      <c r="U694" s="50"/>
      <c r="V694" s="73"/>
      <c r="W694" s="50"/>
      <c r="X694" s="50"/>
      <c r="AN694" s="50"/>
      <c r="AO694" s="50"/>
      <c r="AP694" s="50"/>
      <c r="AQ694" s="50"/>
      <c r="AR694" s="50"/>
      <c r="AS694" s="51"/>
      <c r="AT694" s="50"/>
      <c r="AU694" s="50"/>
      <c r="AV694" s="73"/>
      <c r="AW694" s="50"/>
      <c r="AX694" s="50"/>
    </row>
    <row r="695" spans="14:50" x14ac:dyDescent="0.3">
      <c r="N695" s="50"/>
      <c r="O695" s="50"/>
      <c r="P695" s="50"/>
      <c r="Q695" s="50"/>
      <c r="R695" s="50"/>
      <c r="S695" s="51"/>
      <c r="T695" s="50"/>
      <c r="U695" s="50"/>
      <c r="V695" s="73"/>
      <c r="W695" s="50"/>
      <c r="X695" s="50"/>
      <c r="AN695" s="50"/>
      <c r="AO695" s="50"/>
      <c r="AP695" s="50"/>
      <c r="AQ695" s="50"/>
      <c r="AR695" s="50"/>
      <c r="AS695" s="51"/>
      <c r="AT695" s="50"/>
      <c r="AU695" s="50"/>
      <c r="AV695" s="73"/>
      <c r="AW695" s="50"/>
      <c r="AX695" s="50"/>
    </row>
    <row r="696" spans="14:50" x14ac:dyDescent="0.3">
      <c r="N696" s="50"/>
      <c r="O696" s="50"/>
      <c r="P696" s="50"/>
      <c r="Q696" s="50"/>
      <c r="R696" s="50"/>
      <c r="S696" s="51"/>
      <c r="T696" s="50"/>
      <c r="U696" s="50"/>
      <c r="V696" s="73"/>
      <c r="W696" s="50"/>
      <c r="X696" s="50"/>
      <c r="AN696" s="50"/>
      <c r="AO696" s="50"/>
      <c r="AP696" s="50"/>
      <c r="AQ696" s="50"/>
      <c r="AR696" s="50"/>
      <c r="AS696" s="51"/>
      <c r="AT696" s="50"/>
      <c r="AU696" s="50"/>
      <c r="AV696" s="73"/>
      <c r="AW696" s="50"/>
      <c r="AX696" s="50"/>
    </row>
    <row r="697" spans="14:50" x14ac:dyDescent="0.3">
      <c r="N697" s="50"/>
      <c r="O697" s="50"/>
      <c r="P697" s="50"/>
      <c r="Q697" s="50"/>
      <c r="R697" s="50"/>
      <c r="S697" s="51"/>
      <c r="T697" s="50"/>
      <c r="U697" s="50"/>
      <c r="V697" s="73"/>
      <c r="W697" s="50"/>
      <c r="X697" s="50"/>
      <c r="AN697" s="50"/>
      <c r="AO697" s="50"/>
      <c r="AP697" s="50"/>
      <c r="AQ697" s="50"/>
      <c r="AR697" s="50"/>
      <c r="AS697" s="51"/>
      <c r="AT697" s="50"/>
      <c r="AU697" s="50"/>
      <c r="AV697" s="73"/>
      <c r="AW697" s="50"/>
      <c r="AX697" s="50"/>
    </row>
    <row r="698" spans="14:50" x14ac:dyDescent="0.3">
      <c r="N698" s="50"/>
      <c r="O698" s="50"/>
      <c r="P698" s="50"/>
      <c r="Q698" s="50"/>
      <c r="R698" s="50"/>
      <c r="S698" s="51"/>
      <c r="T698" s="50"/>
      <c r="U698" s="50"/>
      <c r="V698" s="73"/>
      <c r="W698" s="50"/>
      <c r="X698" s="50"/>
      <c r="AN698" s="50"/>
      <c r="AO698" s="50"/>
      <c r="AP698" s="50"/>
      <c r="AQ698" s="50"/>
      <c r="AR698" s="50"/>
      <c r="AS698" s="51"/>
      <c r="AT698" s="50"/>
      <c r="AU698" s="50"/>
      <c r="AV698" s="73"/>
      <c r="AW698" s="50"/>
      <c r="AX698" s="50"/>
    </row>
    <row r="699" spans="14:50" x14ac:dyDescent="0.3">
      <c r="N699" s="50"/>
      <c r="O699" s="50"/>
      <c r="P699" s="50"/>
      <c r="Q699" s="50"/>
      <c r="R699" s="50"/>
      <c r="S699" s="51"/>
      <c r="T699" s="50"/>
      <c r="U699" s="50"/>
      <c r="V699" s="73"/>
      <c r="W699" s="50"/>
      <c r="X699" s="50"/>
      <c r="AN699" s="50"/>
      <c r="AO699" s="50"/>
      <c r="AP699" s="50"/>
      <c r="AQ699" s="50"/>
      <c r="AR699" s="50"/>
      <c r="AS699" s="51"/>
      <c r="AT699" s="50"/>
      <c r="AU699" s="50"/>
      <c r="AV699" s="73"/>
      <c r="AW699" s="50"/>
      <c r="AX699" s="50"/>
    </row>
    <row r="700" spans="14:50" x14ac:dyDescent="0.3">
      <c r="N700" s="50"/>
      <c r="O700" s="50"/>
      <c r="P700" s="50"/>
      <c r="Q700" s="50"/>
      <c r="R700" s="50"/>
      <c r="S700" s="51"/>
      <c r="T700" s="50"/>
      <c r="U700" s="50"/>
      <c r="V700" s="73"/>
      <c r="W700" s="50"/>
      <c r="X700" s="50"/>
      <c r="AN700" s="50"/>
      <c r="AO700" s="50"/>
      <c r="AP700" s="50"/>
      <c r="AQ700" s="50"/>
      <c r="AR700" s="50"/>
      <c r="AS700" s="51"/>
      <c r="AT700" s="50"/>
      <c r="AU700" s="50"/>
      <c r="AV700" s="73"/>
      <c r="AW700" s="50"/>
      <c r="AX700" s="50"/>
    </row>
    <row r="701" spans="14:50" x14ac:dyDescent="0.3">
      <c r="N701" s="50"/>
      <c r="O701" s="50"/>
      <c r="P701" s="50"/>
      <c r="Q701" s="50"/>
      <c r="R701" s="50"/>
      <c r="S701" s="51"/>
      <c r="T701" s="50"/>
      <c r="U701" s="50"/>
      <c r="V701" s="73"/>
      <c r="W701" s="50"/>
      <c r="X701" s="50"/>
      <c r="AN701" s="50"/>
      <c r="AO701" s="50"/>
      <c r="AP701" s="50"/>
      <c r="AQ701" s="50"/>
      <c r="AR701" s="50"/>
      <c r="AS701" s="51"/>
      <c r="AT701" s="50"/>
      <c r="AU701" s="50"/>
      <c r="AV701" s="73"/>
      <c r="AW701" s="50"/>
      <c r="AX701" s="50"/>
    </row>
    <row r="702" spans="14:50" x14ac:dyDescent="0.3">
      <c r="N702" s="50"/>
      <c r="O702" s="50"/>
      <c r="P702" s="50"/>
      <c r="Q702" s="50"/>
      <c r="R702" s="50"/>
      <c r="S702" s="51"/>
      <c r="T702" s="50"/>
      <c r="U702" s="50"/>
      <c r="V702" s="73"/>
      <c r="W702" s="50"/>
      <c r="X702" s="50"/>
      <c r="AN702" s="50"/>
      <c r="AO702" s="50"/>
      <c r="AP702" s="50"/>
      <c r="AQ702" s="50"/>
      <c r="AR702" s="50"/>
      <c r="AS702" s="51"/>
      <c r="AT702" s="50"/>
      <c r="AU702" s="50"/>
      <c r="AV702" s="73"/>
      <c r="AW702" s="50"/>
      <c r="AX702" s="50"/>
    </row>
    <row r="703" spans="14:50" x14ac:dyDescent="0.3">
      <c r="N703" s="50"/>
      <c r="O703" s="50"/>
      <c r="P703" s="50"/>
      <c r="Q703" s="50"/>
      <c r="R703" s="50"/>
      <c r="S703" s="51"/>
      <c r="T703" s="50"/>
      <c r="U703" s="50"/>
      <c r="V703" s="73"/>
      <c r="W703" s="50"/>
      <c r="X703" s="50"/>
      <c r="AN703" s="50"/>
      <c r="AO703" s="50"/>
      <c r="AP703" s="50"/>
      <c r="AQ703" s="50"/>
      <c r="AR703" s="50"/>
      <c r="AS703" s="51"/>
      <c r="AT703" s="50"/>
      <c r="AU703" s="50"/>
      <c r="AV703" s="73"/>
      <c r="AW703" s="50"/>
      <c r="AX703" s="50"/>
    </row>
    <row r="704" spans="14:50" x14ac:dyDescent="0.3">
      <c r="N704" s="50"/>
      <c r="O704" s="50"/>
      <c r="P704" s="50"/>
      <c r="Q704" s="50"/>
      <c r="R704" s="50"/>
      <c r="S704" s="51"/>
      <c r="T704" s="50"/>
      <c r="U704" s="50"/>
      <c r="V704" s="73"/>
      <c r="W704" s="50"/>
      <c r="X704" s="50"/>
      <c r="AN704" s="50"/>
      <c r="AO704" s="50"/>
      <c r="AP704" s="50"/>
      <c r="AQ704" s="50"/>
      <c r="AR704" s="50"/>
      <c r="AS704" s="51"/>
      <c r="AT704" s="50"/>
      <c r="AU704" s="50"/>
      <c r="AV704" s="73"/>
      <c r="AW704" s="50"/>
      <c r="AX704" s="50"/>
    </row>
    <row r="705" spans="14:50" x14ac:dyDescent="0.3">
      <c r="N705" s="50"/>
      <c r="O705" s="50"/>
      <c r="P705" s="50"/>
      <c r="Q705" s="50"/>
      <c r="R705" s="50"/>
      <c r="S705" s="51"/>
      <c r="T705" s="50"/>
      <c r="U705" s="50"/>
      <c r="V705" s="73"/>
      <c r="W705" s="50"/>
      <c r="X705" s="50"/>
      <c r="AN705" s="50"/>
      <c r="AO705" s="50"/>
      <c r="AP705" s="50"/>
      <c r="AQ705" s="50"/>
      <c r="AR705" s="50"/>
      <c r="AS705" s="51"/>
      <c r="AT705" s="50"/>
      <c r="AU705" s="50"/>
      <c r="AV705" s="73"/>
      <c r="AW705" s="50"/>
      <c r="AX705" s="50"/>
    </row>
    <row r="706" spans="14:50" x14ac:dyDescent="0.3">
      <c r="N706" s="50"/>
      <c r="O706" s="50"/>
      <c r="P706" s="50"/>
      <c r="Q706" s="50"/>
      <c r="R706" s="50"/>
      <c r="S706" s="51"/>
      <c r="T706" s="50"/>
      <c r="U706" s="50"/>
      <c r="V706" s="73"/>
      <c r="W706" s="50"/>
      <c r="X706" s="50"/>
      <c r="AN706" s="50"/>
      <c r="AO706" s="50"/>
      <c r="AP706" s="50"/>
      <c r="AQ706" s="50"/>
      <c r="AR706" s="50"/>
      <c r="AS706" s="51"/>
      <c r="AT706" s="50"/>
      <c r="AU706" s="50"/>
      <c r="AV706" s="73"/>
      <c r="AW706" s="50"/>
      <c r="AX706" s="50"/>
    </row>
    <row r="707" spans="14:50" x14ac:dyDescent="0.3">
      <c r="N707" s="50"/>
      <c r="O707" s="50"/>
      <c r="P707" s="50"/>
      <c r="Q707" s="50"/>
      <c r="R707" s="50"/>
      <c r="S707" s="51"/>
      <c r="T707" s="50"/>
      <c r="U707" s="50"/>
      <c r="V707" s="73"/>
      <c r="W707" s="50"/>
      <c r="X707" s="50"/>
      <c r="AN707" s="50"/>
      <c r="AO707" s="50"/>
      <c r="AP707" s="50"/>
      <c r="AQ707" s="50"/>
      <c r="AR707" s="50"/>
      <c r="AS707" s="51"/>
      <c r="AT707" s="50"/>
      <c r="AU707" s="50"/>
      <c r="AV707" s="73"/>
      <c r="AW707" s="50"/>
      <c r="AX707" s="50"/>
    </row>
    <row r="708" spans="14:50" x14ac:dyDescent="0.3">
      <c r="N708" s="50"/>
      <c r="O708" s="50"/>
      <c r="P708" s="50"/>
      <c r="Q708" s="50"/>
      <c r="R708" s="50"/>
      <c r="S708" s="51"/>
      <c r="T708" s="50"/>
      <c r="U708" s="50"/>
      <c r="V708" s="73"/>
      <c r="W708" s="50"/>
      <c r="X708" s="50"/>
      <c r="AN708" s="50"/>
      <c r="AO708" s="50"/>
      <c r="AP708" s="50"/>
      <c r="AQ708" s="50"/>
      <c r="AR708" s="50"/>
      <c r="AS708" s="51"/>
      <c r="AT708" s="50"/>
      <c r="AU708" s="50"/>
      <c r="AV708" s="73"/>
      <c r="AW708" s="50"/>
      <c r="AX708" s="50"/>
    </row>
    <row r="709" spans="14:50" x14ac:dyDescent="0.3">
      <c r="N709" s="50"/>
      <c r="O709" s="50"/>
      <c r="P709" s="50"/>
      <c r="Q709" s="50"/>
      <c r="R709" s="50"/>
      <c r="S709" s="51"/>
      <c r="T709" s="50"/>
      <c r="U709" s="50"/>
      <c r="V709" s="73"/>
      <c r="W709" s="50"/>
      <c r="X709" s="50"/>
      <c r="AN709" s="50"/>
      <c r="AO709" s="50"/>
      <c r="AP709" s="50"/>
      <c r="AQ709" s="50"/>
      <c r="AR709" s="50"/>
      <c r="AS709" s="51"/>
      <c r="AT709" s="50"/>
      <c r="AU709" s="50"/>
      <c r="AV709" s="73"/>
      <c r="AW709" s="50"/>
      <c r="AX709" s="50"/>
    </row>
    <row r="710" spans="14:50" x14ac:dyDescent="0.3">
      <c r="N710" s="50"/>
      <c r="O710" s="50"/>
      <c r="P710" s="50"/>
      <c r="Q710" s="50"/>
      <c r="R710" s="50"/>
      <c r="S710" s="51"/>
      <c r="T710" s="50"/>
      <c r="U710" s="50"/>
      <c r="V710" s="73"/>
      <c r="W710" s="50"/>
      <c r="X710" s="50"/>
      <c r="AN710" s="50"/>
      <c r="AO710" s="50"/>
      <c r="AP710" s="50"/>
      <c r="AQ710" s="50"/>
      <c r="AR710" s="50"/>
      <c r="AS710" s="51"/>
      <c r="AT710" s="50"/>
      <c r="AU710" s="50"/>
      <c r="AV710" s="73"/>
      <c r="AW710" s="50"/>
      <c r="AX710" s="50"/>
    </row>
    <row r="711" spans="14:50" x14ac:dyDescent="0.3">
      <c r="N711" s="50"/>
      <c r="O711" s="50"/>
      <c r="P711" s="50"/>
      <c r="Q711" s="50"/>
      <c r="R711" s="50"/>
      <c r="S711" s="51"/>
      <c r="T711" s="50"/>
      <c r="U711" s="50"/>
      <c r="V711" s="73"/>
      <c r="W711" s="50"/>
      <c r="X711" s="50"/>
      <c r="AN711" s="50"/>
      <c r="AO711" s="50"/>
      <c r="AP711" s="50"/>
      <c r="AQ711" s="50"/>
      <c r="AR711" s="50"/>
      <c r="AS711" s="51"/>
      <c r="AT711" s="50"/>
      <c r="AU711" s="50"/>
      <c r="AV711" s="73"/>
      <c r="AW711" s="50"/>
      <c r="AX711" s="50"/>
    </row>
    <row r="712" spans="14:50" x14ac:dyDescent="0.3">
      <c r="N712" s="50"/>
      <c r="O712" s="50"/>
      <c r="P712" s="50"/>
      <c r="Q712" s="50"/>
      <c r="R712" s="50"/>
      <c r="S712" s="51"/>
      <c r="T712" s="50"/>
      <c r="U712" s="50"/>
      <c r="V712" s="73"/>
      <c r="W712" s="50"/>
      <c r="X712" s="50"/>
      <c r="AN712" s="50"/>
      <c r="AO712" s="50"/>
      <c r="AP712" s="50"/>
      <c r="AQ712" s="50"/>
      <c r="AR712" s="50"/>
      <c r="AS712" s="51"/>
      <c r="AT712" s="50"/>
      <c r="AU712" s="50"/>
      <c r="AV712" s="73"/>
      <c r="AW712" s="50"/>
      <c r="AX712" s="50"/>
    </row>
    <row r="713" spans="14:50" x14ac:dyDescent="0.3">
      <c r="N713" s="50"/>
      <c r="O713" s="50"/>
      <c r="P713" s="50"/>
      <c r="Q713" s="50"/>
      <c r="R713" s="50"/>
      <c r="S713" s="51"/>
      <c r="T713" s="50"/>
      <c r="U713" s="50"/>
      <c r="V713" s="73"/>
      <c r="W713" s="50"/>
      <c r="X713" s="50"/>
      <c r="AN713" s="50"/>
      <c r="AO713" s="50"/>
      <c r="AP713" s="50"/>
      <c r="AQ713" s="50"/>
      <c r="AR713" s="50"/>
      <c r="AS713" s="51"/>
      <c r="AT713" s="50"/>
      <c r="AU713" s="50"/>
      <c r="AV713" s="73"/>
      <c r="AW713" s="50"/>
      <c r="AX713" s="50"/>
    </row>
    <row r="714" spans="14:50" x14ac:dyDescent="0.3">
      <c r="N714" s="50"/>
      <c r="O714" s="50"/>
      <c r="P714" s="50"/>
      <c r="Q714" s="50"/>
      <c r="R714" s="50"/>
      <c r="S714" s="51"/>
      <c r="T714" s="50"/>
      <c r="U714" s="50"/>
      <c r="V714" s="73"/>
      <c r="W714" s="50"/>
      <c r="X714" s="50"/>
      <c r="AN714" s="50"/>
      <c r="AO714" s="50"/>
      <c r="AP714" s="50"/>
      <c r="AQ714" s="50"/>
      <c r="AR714" s="50"/>
      <c r="AS714" s="51"/>
      <c r="AT714" s="50"/>
      <c r="AU714" s="50"/>
      <c r="AV714" s="73"/>
      <c r="AW714" s="50"/>
      <c r="AX714" s="50"/>
    </row>
    <row r="715" spans="14:50" x14ac:dyDescent="0.3">
      <c r="N715" s="50"/>
      <c r="O715" s="50"/>
      <c r="P715" s="50"/>
      <c r="Q715" s="50"/>
      <c r="R715" s="50"/>
      <c r="S715" s="51"/>
      <c r="T715" s="50"/>
      <c r="U715" s="50"/>
      <c r="V715" s="73"/>
      <c r="W715" s="50"/>
      <c r="X715" s="50"/>
      <c r="AN715" s="50"/>
      <c r="AO715" s="50"/>
      <c r="AP715" s="50"/>
      <c r="AQ715" s="50"/>
      <c r="AR715" s="50"/>
      <c r="AS715" s="51"/>
      <c r="AT715" s="50"/>
      <c r="AU715" s="50"/>
      <c r="AV715" s="73"/>
      <c r="AW715" s="50"/>
      <c r="AX715" s="50"/>
    </row>
    <row r="716" spans="14:50" x14ac:dyDescent="0.3">
      <c r="N716" s="50"/>
      <c r="O716" s="50"/>
      <c r="P716" s="50"/>
      <c r="Q716" s="50"/>
      <c r="R716" s="50"/>
      <c r="S716" s="51"/>
      <c r="T716" s="50"/>
      <c r="U716" s="50"/>
      <c r="V716" s="73"/>
      <c r="W716" s="50"/>
      <c r="X716" s="50"/>
      <c r="AN716" s="50"/>
      <c r="AO716" s="50"/>
      <c r="AP716" s="50"/>
      <c r="AQ716" s="50"/>
      <c r="AR716" s="50"/>
      <c r="AS716" s="51"/>
      <c r="AT716" s="50"/>
      <c r="AU716" s="50"/>
      <c r="AV716" s="73"/>
      <c r="AW716" s="50"/>
      <c r="AX716" s="50"/>
    </row>
    <row r="717" spans="14:50" x14ac:dyDescent="0.3">
      <c r="N717" s="50"/>
      <c r="O717" s="50"/>
      <c r="P717" s="50"/>
      <c r="Q717" s="50"/>
      <c r="R717" s="50"/>
      <c r="S717" s="51"/>
      <c r="T717" s="50"/>
      <c r="U717" s="50"/>
      <c r="V717" s="73"/>
      <c r="W717" s="50"/>
      <c r="X717" s="50"/>
      <c r="AN717" s="50"/>
      <c r="AO717" s="50"/>
      <c r="AP717" s="50"/>
      <c r="AQ717" s="50"/>
      <c r="AR717" s="50"/>
      <c r="AS717" s="51"/>
      <c r="AT717" s="50"/>
      <c r="AU717" s="50"/>
      <c r="AV717" s="73"/>
      <c r="AW717" s="50"/>
      <c r="AX717" s="50"/>
    </row>
    <row r="718" spans="14:50" x14ac:dyDescent="0.3">
      <c r="N718" s="50"/>
      <c r="O718" s="50"/>
      <c r="P718" s="50"/>
      <c r="Q718" s="50"/>
      <c r="R718" s="50"/>
      <c r="S718" s="51"/>
      <c r="T718" s="50"/>
      <c r="U718" s="50"/>
      <c r="V718" s="73"/>
      <c r="W718" s="50"/>
      <c r="X718" s="50"/>
      <c r="AN718" s="50"/>
      <c r="AO718" s="50"/>
      <c r="AP718" s="50"/>
      <c r="AQ718" s="50"/>
      <c r="AR718" s="50"/>
      <c r="AS718" s="51"/>
      <c r="AT718" s="50"/>
      <c r="AU718" s="50"/>
      <c r="AV718" s="73"/>
      <c r="AW718" s="50"/>
      <c r="AX718" s="50"/>
    </row>
    <row r="719" spans="14:50" x14ac:dyDescent="0.3">
      <c r="N719" s="50"/>
      <c r="O719" s="50"/>
      <c r="P719" s="50"/>
      <c r="Q719" s="50"/>
      <c r="R719" s="50"/>
      <c r="S719" s="51"/>
      <c r="T719" s="50"/>
      <c r="U719" s="50"/>
      <c r="V719" s="73"/>
      <c r="W719" s="50"/>
      <c r="X719" s="50"/>
      <c r="AN719" s="50"/>
      <c r="AO719" s="50"/>
      <c r="AP719" s="50"/>
      <c r="AQ719" s="50"/>
      <c r="AR719" s="50"/>
      <c r="AS719" s="51"/>
      <c r="AT719" s="50"/>
      <c r="AU719" s="50"/>
      <c r="AV719" s="73"/>
      <c r="AW719" s="50"/>
      <c r="AX719" s="50"/>
    </row>
    <row r="720" spans="14:50" x14ac:dyDescent="0.3">
      <c r="N720" s="50"/>
      <c r="O720" s="50"/>
      <c r="P720" s="50"/>
      <c r="Q720" s="50"/>
      <c r="R720" s="50"/>
      <c r="S720" s="51"/>
      <c r="T720" s="50"/>
      <c r="U720" s="50"/>
      <c r="V720" s="73"/>
      <c r="W720" s="50"/>
      <c r="X720" s="50"/>
      <c r="AN720" s="50"/>
      <c r="AO720" s="50"/>
      <c r="AP720" s="50"/>
      <c r="AQ720" s="50"/>
      <c r="AR720" s="50"/>
      <c r="AS720" s="51"/>
      <c r="AT720" s="50"/>
      <c r="AU720" s="50"/>
      <c r="AV720" s="73"/>
      <c r="AW720" s="50"/>
      <c r="AX720" s="50"/>
    </row>
    <row r="721" spans="14:50" x14ac:dyDescent="0.3">
      <c r="N721" s="50"/>
      <c r="O721" s="50"/>
      <c r="P721" s="50"/>
      <c r="Q721" s="50"/>
      <c r="R721" s="50"/>
      <c r="S721" s="51"/>
      <c r="T721" s="50"/>
      <c r="U721" s="50"/>
      <c r="V721" s="73"/>
      <c r="W721" s="50"/>
      <c r="X721" s="50"/>
      <c r="AN721" s="50"/>
      <c r="AO721" s="50"/>
      <c r="AP721" s="50"/>
      <c r="AQ721" s="50"/>
      <c r="AR721" s="50"/>
      <c r="AS721" s="51"/>
      <c r="AT721" s="50"/>
      <c r="AU721" s="50"/>
      <c r="AV721" s="73"/>
      <c r="AW721" s="50"/>
      <c r="AX721" s="50"/>
    </row>
    <row r="722" spans="14:50" x14ac:dyDescent="0.3">
      <c r="N722" s="50"/>
      <c r="O722" s="50"/>
      <c r="P722" s="50"/>
      <c r="Q722" s="50"/>
      <c r="R722" s="50"/>
      <c r="S722" s="51"/>
      <c r="T722" s="50"/>
      <c r="U722" s="50"/>
      <c r="V722" s="73"/>
      <c r="W722" s="50"/>
      <c r="X722" s="50"/>
      <c r="AN722" s="50"/>
      <c r="AO722" s="50"/>
      <c r="AP722" s="50"/>
      <c r="AQ722" s="50"/>
      <c r="AR722" s="50"/>
      <c r="AS722" s="51"/>
      <c r="AT722" s="50"/>
      <c r="AU722" s="50"/>
      <c r="AV722" s="73"/>
      <c r="AW722" s="50"/>
      <c r="AX722" s="50"/>
    </row>
    <row r="723" spans="14:50" x14ac:dyDescent="0.3">
      <c r="N723" s="50"/>
      <c r="O723" s="50"/>
      <c r="P723" s="50"/>
      <c r="Q723" s="50"/>
      <c r="R723" s="50"/>
      <c r="S723" s="51"/>
      <c r="T723" s="50"/>
      <c r="U723" s="50"/>
      <c r="V723" s="73"/>
      <c r="W723" s="50"/>
      <c r="X723" s="50"/>
      <c r="AN723" s="50"/>
      <c r="AO723" s="50"/>
      <c r="AP723" s="50"/>
      <c r="AQ723" s="50"/>
      <c r="AR723" s="50"/>
      <c r="AS723" s="51"/>
      <c r="AT723" s="50"/>
      <c r="AU723" s="50"/>
      <c r="AV723" s="73"/>
      <c r="AW723" s="50"/>
      <c r="AX723" s="50"/>
    </row>
    <row r="724" spans="14:50" x14ac:dyDescent="0.3">
      <c r="N724" s="50"/>
      <c r="O724" s="50"/>
      <c r="P724" s="50"/>
      <c r="Q724" s="50"/>
      <c r="R724" s="50"/>
      <c r="S724" s="51"/>
      <c r="T724" s="50"/>
      <c r="U724" s="50"/>
      <c r="V724" s="73"/>
      <c r="W724" s="50"/>
      <c r="X724" s="50"/>
      <c r="AN724" s="50"/>
      <c r="AO724" s="50"/>
      <c r="AP724" s="50"/>
      <c r="AQ724" s="50"/>
      <c r="AR724" s="50"/>
      <c r="AS724" s="51"/>
      <c r="AT724" s="50"/>
      <c r="AU724" s="50"/>
      <c r="AV724" s="73"/>
      <c r="AW724" s="50"/>
      <c r="AX724" s="50"/>
    </row>
    <row r="725" spans="14:50" x14ac:dyDescent="0.3">
      <c r="N725" s="50"/>
      <c r="O725" s="50"/>
      <c r="P725" s="50"/>
      <c r="Q725" s="50"/>
      <c r="R725" s="50"/>
      <c r="S725" s="51"/>
      <c r="T725" s="50"/>
      <c r="U725" s="50"/>
      <c r="V725" s="73"/>
      <c r="W725" s="50"/>
      <c r="X725" s="50"/>
      <c r="AN725" s="50"/>
      <c r="AO725" s="50"/>
      <c r="AP725" s="50"/>
      <c r="AQ725" s="50"/>
      <c r="AR725" s="50"/>
      <c r="AS725" s="51"/>
      <c r="AT725" s="50"/>
      <c r="AU725" s="50"/>
      <c r="AV725" s="73"/>
      <c r="AW725" s="50"/>
      <c r="AX725" s="50"/>
    </row>
    <row r="726" spans="14:50" x14ac:dyDescent="0.3">
      <c r="N726" s="50"/>
      <c r="O726" s="50"/>
      <c r="P726" s="50"/>
      <c r="Q726" s="50"/>
      <c r="R726" s="50"/>
      <c r="S726" s="51"/>
      <c r="T726" s="50"/>
      <c r="U726" s="50"/>
      <c r="V726" s="73"/>
      <c r="W726" s="50"/>
      <c r="X726" s="50"/>
      <c r="AN726" s="50"/>
      <c r="AO726" s="50"/>
      <c r="AP726" s="50"/>
      <c r="AQ726" s="50"/>
      <c r="AR726" s="50"/>
      <c r="AS726" s="51"/>
      <c r="AT726" s="50"/>
      <c r="AU726" s="50"/>
      <c r="AV726" s="73"/>
      <c r="AW726" s="50"/>
      <c r="AX726" s="50"/>
    </row>
    <row r="727" spans="14:50" x14ac:dyDescent="0.3">
      <c r="N727" s="50"/>
      <c r="O727" s="50"/>
      <c r="P727" s="50"/>
      <c r="Q727" s="50"/>
      <c r="R727" s="50"/>
      <c r="S727" s="51"/>
      <c r="T727" s="50"/>
      <c r="U727" s="50"/>
      <c r="V727" s="73"/>
      <c r="W727" s="50"/>
      <c r="X727" s="50"/>
      <c r="AN727" s="50"/>
      <c r="AO727" s="50"/>
      <c r="AP727" s="50"/>
      <c r="AQ727" s="50"/>
      <c r="AR727" s="50"/>
      <c r="AS727" s="51"/>
      <c r="AT727" s="50"/>
      <c r="AU727" s="50"/>
      <c r="AV727" s="73"/>
      <c r="AW727" s="50"/>
      <c r="AX727" s="50"/>
    </row>
    <row r="728" spans="14:50" x14ac:dyDescent="0.3">
      <c r="N728" s="50"/>
      <c r="O728" s="50"/>
      <c r="P728" s="50"/>
      <c r="Q728" s="50"/>
      <c r="R728" s="50"/>
      <c r="S728" s="51"/>
      <c r="T728" s="50"/>
      <c r="U728" s="50"/>
      <c r="V728" s="73"/>
      <c r="W728" s="50"/>
      <c r="X728" s="50"/>
      <c r="AN728" s="50"/>
      <c r="AO728" s="50"/>
      <c r="AP728" s="50"/>
      <c r="AQ728" s="50"/>
      <c r="AR728" s="50"/>
      <c r="AS728" s="51"/>
      <c r="AT728" s="50"/>
      <c r="AU728" s="50"/>
      <c r="AV728" s="73"/>
      <c r="AW728" s="50"/>
      <c r="AX728" s="50"/>
    </row>
    <row r="729" spans="14:50" x14ac:dyDescent="0.3">
      <c r="N729" s="50"/>
      <c r="O729" s="50"/>
      <c r="P729" s="50"/>
      <c r="Q729" s="50"/>
      <c r="R729" s="50"/>
      <c r="S729" s="51"/>
      <c r="T729" s="50"/>
      <c r="U729" s="50"/>
      <c r="V729" s="73"/>
      <c r="W729" s="50"/>
      <c r="X729" s="50"/>
      <c r="AN729" s="50"/>
      <c r="AO729" s="50"/>
      <c r="AP729" s="50"/>
      <c r="AQ729" s="50"/>
      <c r="AR729" s="50"/>
      <c r="AS729" s="51"/>
      <c r="AT729" s="50"/>
      <c r="AU729" s="50"/>
      <c r="AV729" s="73"/>
      <c r="AW729" s="50"/>
      <c r="AX729" s="50"/>
    </row>
    <row r="730" spans="14:50" x14ac:dyDescent="0.3">
      <c r="N730" s="50"/>
      <c r="O730" s="50"/>
      <c r="P730" s="50"/>
      <c r="Q730" s="50"/>
      <c r="R730" s="50"/>
      <c r="S730" s="51"/>
      <c r="T730" s="50"/>
      <c r="U730" s="50"/>
      <c r="V730" s="73"/>
      <c r="W730" s="50"/>
      <c r="X730" s="50"/>
      <c r="AN730" s="50"/>
      <c r="AO730" s="50"/>
      <c r="AP730" s="50"/>
      <c r="AQ730" s="50"/>
      <c r="AR730" s="50"/>
      <c r="AS730" s="51"/>
      <c r="AT730" s="50"/>
      <c r="AU730" s="50"/>
      <c r="AV730" s="73"/>
      <c r="AW730" s="50"/>
      <c r="AX730" s="50"/>
    </row>
    <row r="731" spans="14:50" x14ac:dyDescent="0.3">
      <c r="N731" s="50"/>
      <c r="O731" s="50"/>
      <c r="P731" s="50"/>
      <c r="Q731" s="50"/>
      <c r="R731" s="50"/>
      <c r="S731" s="51"/>
      <c r="T731" s="50"/>
      <c r="U731" s="50"/>
      <c r="V731" s="73"/>
      <c r="W731" s="50"/>
      <c r="X731" s="50"/>
      <c r="AN731" s="50"/>
      <c r="AO731" s="50"/>
      <c r="AP731" s="50"/>
      <c r="AQ731" s="50"/>
      <c r="AR731" s="50"/>
      <c r="AS731" s="51"/>
      <c r="AT731" s="50"/>
      <c r="AU731" s="50"/>
      <c r="AV731" s="73"/>
      <c r="AW731" s="50"/>
      <c r="AX731" s="50"/>
    </row>
    <row r="732" spans="14:50" x14ac:dyDescent="0.3">
      <c r="N732" s="50"/>
      <c r="O732" s="50"/>
      <c r="P732" s="50"/>
      <c r="Q732" s="50"/>
      <c r="R732" s="50"/>
      <c r="S732" s="51"/>
      <c r="T732" s="50"/>
      <c r="U732" s="50"/>
      <c r="V732" s="73"/>
      <c r="W732" s="50"/>
      <c r="X732" s="50"/>
      <c r="AN732" s="50"/>
      <c r="AO732" s="50"/>
      <c r="AP732" s="50"/>
      <c r="AQ732" s="50"/>
      <c r="AR732" s="50"/>
      <c r="AS732" s="51"/>
      <c r="AT732" s="50"/>
      <c r="AU732" s="50"/>
      <c r="AV732" s="73"/>
      <c r="AW732" s="50"/>
      <c r="AX732" s="50"/>
    </row>
    <row r="733" spans="14:50" x14ac:dyDescent="0.3">
      <c r="N733" s="50"/>
      <c r="O733" s="50"/>
      <c r="P733" s="50"/>
      <c r="Q733" s="50"/>
      <c r="R733" s="50"/>
      <c r="S733" s="51"/>
      <c r="T733" s="50"/>
      <c r="U733" s="50"/>
      <c r="V733" s="73"/>
      <c r="W733" s="50"/>
      <c r="X733" s="50"/>
      <c r="AN733" s="50"/>
      <c r="AO733" s="50"/>
      <c r="AP733" s="50"/>
      <c r="AQ733" s="50"/>
      <c r="AR733" s="50"/>
      <c r="AS733" s="51"/>
      <c r="AT733" s="50"/>
      <c r="AU733" s="50"/>
      <c r="AV733" s="73"/>
      <c r="AW733" s="50"/>
      <c r="AX733" s="50"/>
    </row>
    <row r="734" spans="14:50" x14ac:dyDescent="0.3">
      <c r="N734" s="50"/>
      <c r="O734" s="50"/>
      <c r="P734" s="50"/>
      <c r="Q734" s="50"/>
      <c r="R734" s="50"/>
      <c r="S734" s="51"/>
      <c r="T734" s="50"/>
      <c r="U734" s="50"/>
      <c r="V734" s="73"/>
      <c r="W734" s="50"/>
      <c r="X734" s="50"/>
      <c r="AN734" s="50"/>
      <c r="AO734" s="50"/>
      <c r="AP734" s="50"/>
      <c r="AQ734" s="50"/>
      <c r="AR734" s="50"/>
      <c r="AS734" s="51"/>
      <c r="AT734" s="50"/>
      <c r="AU734" s="50"/>
      <c r="AV734" s="73"/>
      <c r="AW734" s="50"/>
      <c r="AX734" s="50"/>
    </row>
    <row r="735" spans="14:50" x14ac:dyDescent="0.3">
      <c r="N735" s="50"/>
      <c r="O735" s="50"/>
      <c r="P735" s="50"/>
      <c r="Q735" s="50"/>
      <c r="R735" s="50"/>
      <c r="S735" s="51"/>
      <c r="T735" s="50"/>
      <c r="U735" s="50"/>
      <c r="V735" s="73"/>
      <c r="W735" s="50"/>
      <c r="X735" s="50"/>
      <c r="AN735" s="50"/>
      <c r="AO735" s="50"/>
      <c r="AP735" s="50"/>
      <c r="AQ735" s="50"/>
      <c r="AR735" s="50"/>
      <c r="AS735" s="51"/>
      <c r="AT735" s="50"/>
      <c r="AU735" s="50"/>
      <c r="AV735" s="73"/>
      <c r="AW735" s="50"/>
      <c r="AX735" s="50"/>
    </row>
    <row r="736" spans="14:50" x14ac:dyDescent="0.3">
      <c r="N736" s="50"/>
      <c r="O736" s="50"/>
      <c r="P736" s="50"/>
      <c r="Q736" s="50"/>
      <c r="R736" s="50"/>
      <c r="S736" s="51"/>
      <c r="T736" s="50"/>
      <c r="U736" s="50"/>
      <c r="V736" s="73"/>
      <c r="W736" s="50"/>
      <c r="X736" s="50"/>
      <c r="AN736" s="50"/>
      <c r="AO736" s="50"/>
      <c r="AP736" s="50"/>
      <c r="AQ736" s="50"/>
      <c r="AR736" s="50"/>
      <c r="AS736" s="51"/>
      <c r="AT736" s="50"/>
      <c r="AU736" s="50"/>
      <c r="AV736" s="73"/>
      <c r="AW736" s="50"/>
      <c r="AX736" s="50"/>
    </row>
    <row r="737" spans="14:50" x14ac:dyDescent="0.3">
      <c r="N737" s="50"/>
      <c r="O737" s="50"/>
      <c r="P737" s="50"/>
      <c r="Q737" s="50"/>
      <c r="R737" s="50"/>
      <c r="S737" s="51"/>
      <c r="T737" s="50"/>
      <c r="U737" s="50"/>
      <c r="V737" s="73"/>
      <c r="W737" s="50"/>
      <c r="X737" s="50"/>
      <c r="AN737" s="50"/>
      <c r="AO737" s="50"/>
      <c r="AP737" s="50"/>
      <c r="AQ737" s="50"/>
      <c r="AR737" s="50"/>
      <c r="AS737" s="51"/>
      <c r="AT737" s="50"/>
      <c r="AU737" s="50"/>
      <c r="AV737" s="73"/>
      <c r="AW737" s="50"/>
      <c r="AX737" s="50"/>
    </row>
    <row r="738" spans="14:50" x14ac:dyDescent="0.3">
      <c r="N738" s="50"/>
      <c r="O738" s="50"/>
      <c r="P738" s="50"/>
      <c r="Q738" s="50"/>
      <c r="R738" s="50"/>
      <c r="S738" s="51"/>
      <c r="T738" s="50"/>
      <c r="U738" s="50"/>
      <c r="V738" s="73"/>
      <c r="W738" s="50"/>
      <c r="X738" s="50"/>
      <c r="AN738" s="50"/>
      <c r="AO738" s="50"/>
      <c r="AP738" s="50"/>
      <c r="AQ738" s="50"/>
      <c r="AR738" s="50"/>
      <c r="AS738" s="51"/>
      <c r="AT738" s="50"/>
      <c r="AU738" s="50"/>
      <c r="AV738" s="73"/>
      <c r="AW738" s="50"/>
      <c r="AX738" s="50"/>
    </row>
    <row r="739" spans="14:50" x14ac:dyDescent="0.3">
      <c r="N739" s="50"/>
      <c r="O739" s="50"/>
      <c r="P739" s="50"/>
      <c r="Q739" s="50"/>
      <c r="R739" s="50"/>
      <c r="S739" s="51"/>
      <c r="T739" s="50"/>
      <c r="U739" s="50"/>
      <c r="V739" s="73"/>
      <c r="W739" s="50"/>
      <c r="X739" s="50"/>
      <c r="AN739" s="50"/>
      <c r="AO739" s="50"/>
      <c r="AP739" s="50"/>
      <c r="AQ739" s="50"/>
      <c r="AR739" s="50"/>
      <c r="AS739" s="51"/>
      <c r="AT739" s="50"/>
      <c r="AU739" s="50"/>
      <c r="AV739" s="73"/>
      <c r="AW739" s="50"/>
      <c r="AX739" s="50"/>
    </row>
    <row r="740" spans="14:50" x14ac:dyDescent="0.3">
      <c r="N740" s="50"/>
      <c r="O740" s="50"/>
      <c r="P740" s="50"/>
      <c r="Q740" s="50"/>
      <c r="R740" s="50"/>
      <c r="S740" s="51"/>
      <c r="T740" s="50"/>
      <c r="U740" s="50"/>
      <c r="V740" s="73"/>
      <c r="W740" s="50"/>
      <c r="X740" s="50"/>
      <c r="AN740" s="50"/>
      <c r="AO740" s="50"/>
      <c r="AP740" s="50"/>
      <c r="AQ740" s="50"/>
      <c r="AR740" s="50"/>
      <c r="AS740" s="51"/>
      <c r="AT740" s="50"/>
      <c r="AU740" s="50"/>
      <c r="AV740" s="73"/>
      <c r="AW740" s="50"/>
      <c r="AX740" s="50"/>
    </row>
    <row r="741" spans="14:50" x14ac:dyDescent="0.3">
      <c r="N741" s="50"/>
      <c r="O741" s="50"/>
      <c r="P741" s="50"/>
      <c r="Q741" s="50"/>
      <c r="R741" s="50"/>
      <c r="S741" s="51"/>
      <c r="T741" s="50"/>
      <c r="U741" s="50"/>
      <c r="V741" s="73"/>
      <c r="W741" s="50"/>
      <c r="X741" s="50"/>
      <c r="AN741" s="50"/>
      <c r="AO741" s="50"/>
      <c r="AP741" s="50"/>
      <c r="AQ741" s="50"/>
      <c r="AR741" s="50"/>
      <c r="AS741" s="51"/>
      <c r="AT741" s="50"/>
      <c r="AU741" s="50"/>
      <c r="AV741" s="73"/>
      <c r="AW741" s="50"/>
      <c r="AX741" s="50"/>
    </row>
    <row r="742" spans="14:50" x14ac:dyDescent="0.3">
      <c r="N742" s="50"/>
      <c r="O742" s="50"/>
      <c r="P742" s="50"/>
      <c r="Q742" s="50"/>
      <c r="R742" s="50"/>
      <c r="S742" s="51"/>
      <c r="T742" s="50"/>
      <c r="U742" s="50"/>
      <c r="V742" s="73"/>
      <c r="W742" s="50"/>
      <c r="X742" s="50"/>
      <c r="AN742" s="50"/>
      <c r="AO742" s="50"/>
      <c r="AP742" s="50"/>
      <c r="AQ742" s="50"/>
      <c r="AR742" s="50"/>
      <c r="AS742" s="51"/>
      <c r="AT742" s="50"/>
      <c r="AU742" s="50"/>
      <c r="AV742" s="73"/>
      <c r="AW742" s="50"/>
      <c r="AX742" s="50"/>
    </row>
    <row r="743" spans="14:50" x14ac:dyDescent="0.3">
      <c r="N743" s="50"/>
      <c r="O743" s="50"/>
      <c r="P743" s="50"/>
      <c r="Q743" s="50"/>
      <c r="R743" s="50"/>
      <c r="S743" s="51"/>
      <c r="T743" s="50"/>
      <c r="U743" s="50"/>
      <c r="V743" s="73"/>
      <c r="W743" s="50"/>
      <c r="X743" s="50"/>
      <c r="AN743" s="50"/>
      <c r="AO743" s="50"/>
      <c r="AP743" s="50"/>
      <c r="AQ743" s="50"/>
      <c r="AR743" s="50"/>
      <c r="AS743" s="51"/>
      <c r="AT743" s="50"/>
      <c r="AU743" s="50"/>
      <c r="AV743" s="73"/>
      <c r="AW743" s="50"/>
      <c r="AX743" s="50"/>
    </row>
    <row r="744" spans="14:50" x14ac:dyDescent="0.3">
      <c r="N744" s="50"/>
      <c r="O744" s="50"/>
      <c r="P744" s="50"/>
      <c r="Q744" s="50"/>
      <c r="R744" s="50"/>
      <c r="S744" s="51"/>
      <c r="T744" s="50"/>
      <c r="U744" s="50"/>
      <c r="V744" s="73"/>
      <c r="W744" s="50"/>
      <c r="X744" s="50"/>
      <c r="AN744" s="50"/>
      <c r="AO744" s="50"/>
      <c r="AP744" s="50"/>
      <c r="AQ744" s="50"/>
      <c r="AR744" s="50"/>
      <c r="AS744" s="51"/>
      <c r="AT744" s="50"/>
      <c r="AU744" s="50"/>
      <c r="AV744" s="73"/>
      <c r="AW744" s="50"/>
      <c r="AX744" s="50"/>
    </row>
    <row r="745" spans="14:50" x14ac:dyDescent="0.3">
      <c r="N745" s="50"/>
      <c r="O745" s="50"/>
      <c r="P745" s="50"/>
      <c r="Q745" s="50"/>
      <c r="R745" s="50"/>
      <c r="S745" s="51"/>
      <c r="T745" s="50"/>
      <c r="U745" s="50"/>
      <c r="V745" s="73"/>
      <c r="W745" s="50"/>
      <c r="X745" s="50"/>
      <c r="AN745" s="50"/>
      <c r="AO745" s="50"/>
      <c r="AP745" s="50"/>
      <c r="AQ745" s="50"/>
      <c r="AR745" s="50"/>
      <c r="AS745" s="51"/>
      <c r="AT745" s="50"/>
      <c r="AU745" s="50"/>
      <c r="AV745" s="73"/>
      <c r="AW745" s="50"/>
      <c r="AX745" s="50"/>
    </row>
    <row r="746" spans="14:50" x14ac:dyDescent="0.3">
      <c r="N746" s="50"/>
      <c r="O746" s="50"/>
      <c r="P746" s="50"/>
      <c r="Q746" s="50"/>
      <c r="R746" s="50"/>
      <c r="S746" s="51"/>
      <c r="T746" s="50"/>
      <c r="U746" s="50"/>
      <c r="V746" s="73"/>
      <c r="W746" s="50"/>
      <c r="X746" s="50"/>
      <c r="AN746" s="50"/>
      <c r="AO746" s="50"/>
      <c r="AP746" s="50"/>
      <c r="AQ746" s="50"/>
      <c r="AR746" s="50"/>
      <c r="AS746" s="51"/>
      <c r="AT746" s="50"/>
      <c r="AU746" s="50"/>
      <c r="AV746" s="73"/>
      <c r="AW746" s="50"/>
      <c r="AX746" s="50"/>
    </row>
    <row r="747" spans="14:50" x14ac:dyDescent="0.3">
      <c r="N747" s="50"/>
      <c r="O747" s="50"/>
      <c r="P747" s="50"/>
      <c r="Q747" s="50"/>
      <c r="R747" s="50"/>
      <c r="S747" s="51"/>
      <c r="T747" s="50"/>
      <c r="U747" s="50"/>
      <c r="V747" s="73"/>
      <c r="W747" s="50"/>
      <c r="X747" s="50"/>
      <c r="AN747" s="50"/>
      <c r="AO747" s="50"/>
      <c r="AP747" s="50"/>
      <c r="AQ747" s="50"/>
      <c r="AR747" s="50"/>
      <c r="AS747" s="51"/>
      <c r="AT747" s="50"/>
      <c r="AU747" s="50"/>
      <c r="AV747" s="73"/>
      <c r="AW747" s="50"/>
      <c r="AX747" s="50"/>
    </row>
    <row r="748" spans="14:50" x14ac:dyDescent="0.3">
      <c r="N748" s="50"/>
      <c r="O748" s="50"/>
      <c r="P748" s="50"/>
      <c r="Q748" s="50"/>
      <c r="R748" s="50"/>
      <c r="S748" s="51"/>
      <c r="T748" s="50"/>
      <c r="U748" s="50"/>
      <c r="V748" s="73"/>
      <c r="W748" s="50"/>
      <c r="X748" s="50"/>
      <c r="AN748" s="50"/>
      <c r="AO748" s="50"/>
      <c r="AP748" s="50"/>
      <c r="AQ748" s="50"/>
      <c r="AR748" s="50"/>
      <c r="AS748" s="51"/>
      <c r="AT748" s="50"/>
      <c r="AU748" s="50"/>
      <c r="AV748" s="73"/>
      <c r="AW748" s="50"/>
      <c r="AX748" s="50"/>
    </row>
    <row r="749" spans="14:50" x14ac:dyDescent="0.3">
      <c r="N749" s="50"/>
      <c r="O749" s="50"/>
      <c r="P749" s="50"/>
      <c r="Q749" s="50"/>
      <c r="R749" s="50"/>
      <c r="S749" s="51"/>
      <c r="T749" s="50"/>
      <c r="U749" s="50"/>
      <c r="V749" s="73"/>
      <c r="W749" s="50"/>
      <c r="X749" s="50"/>
      <c r="AN749" s="50"/>
      <c r="AO749" s="50"/>
      <c r="AP749" s="50"/>
      <c r="AQ749" s="50"/>
      <c r="AR749" s="50"/>
      <c r="AS749" s="51"/>
      <c r="AT749" s="50"/>
      <c r="AU749" s="50"/>
      <c r="AV749" s="73"/>
      <c r="AW749" s="50"/>
      <c r="AX749" s="50"/>
    </row>
    <row r="750" spans="14:50" x14ac:dyDescent="0.3">
      <c r="N750" s="50"/>
      <c r="O750" s="50"/>
      <c r="P750" s="50"/>
      <c r="Q750" s="50"/>
      <c r="R750" s="50"/>
      <c r="S750" s="51"/>
      <c r="T750" s="50"/>
      <c r="U750" s="50"/>
      <c r="V750" s="73"/>
      <c r="W750" s="50"/>
      <c r="X750" s="50"/>
      <c r="AN750" s="50"/>
      <c r="AO750" s="50"/>
      <c r="AP750" s="50"/>
      <c r="AQ750" s="50"/>
      <c r="AR750" s="50"/>
      <c r="AS750" s="51"/>
      <c r="AT750" s="50"/>
      <c r="AU750" s="50"/>
      <c r="AV750" s="73"/>
      <c r="AW750" s="50"/>
      <c r="AX750" s="50"/>
    </row>
    <row r="751" spans="14:50" x14ac:dyDescent="0.3">
      <c r="N751" s="50"/>
      <c r="O751" s="50"/>
      <c r="P751" s="50"/>
      <c r="Q751" s="50"/>
      <c r="R751" s="50"/>
      <c r="S751" s="51"/>
      <c r="T751" s="50"/>
      <c r="U751" s="50"/>
      <c r="V751" s="73"/>
      <c r="W751" s="50"/>
      <c r="X751" s="50"/>
      <c r="AN751" s="50"/>
      <c r="AO751" s="50"/>
      <c r="AP751" s="50"/>
      <c r="AQ751" s="50"/>
      <c r="AR751" s="50"/>
      <c r="AS751" s="51"/>
      <c r="AT751" s="50"/>
      <c r="AU751" s="50"/>
      <c r="AV751" s="73"/>
      <c r="AW751" s="50"/>
      <c r="AX751" s="50"/>
    </row>
    <row r="752" spans="14:50" x14ac:dyDescent="0.3">
      <c r="N752" s="50"/>
      <c r="O752" s="50"/>
      <c r="P752" s="50"/>
      <c r="Q752" s="50"/>
      <c r="R752" s="50"/>
      <c r="S752" s="51"/>
      <c r="T752" s="50"/>
      <c r="U752" s="50"/>
      <c r="V752" s="73"/>
      <c r="W752" s="50"/>
      <c r="X752" s="50"/>
      <c r="AN752" s="50"/>
      <c r="AO752" s="50"/>
      <c r="AP752" s="50"/>
      <c r="AQ752" s="50"/>
      <c r="AR752" s="50"/>
      <c r="AS752" s="51"/>
      <c r="AT752" s="50"/>
      <c r="AU752" s="50"/>
      <c r="AV752" s="73"/>
      <c r="AW752" s="50"/>
      <c r="AX752" s="50"/>
    </row>
    <row r="753" spans="14:50" x14ac:dyDescent="0.3">
      <c r="N753" s="50"/>
      <c r="O753" s="50"/>
      <c r="P753" s="50"/>
      <c r="Q753" s="50"/>
      <c r="R753" s="50"/>
      <c r="S753" s="51"/>
      <c r="T753" s="50"/>
      <c r="U753" s="50"/>
      <c r="V753" s="73"/>
      <c r="W753" s="50"/>
      <c r="X753" s="50"/>
      <c r="AN753" s="50"/>
      <c r="AO753" s="50"/>
      <c r="AP753" s="50"/>
      <c r="AQ753" s="50"/>
      <c r="AR753" s="50"/>
      <c r="AS753" s="51"/>
      <c r="AT753" s="50"/>
      <c r="AU753" s="50"/>
      <c r="AV753" s="73"/>
      <c r="AW753" s="50"/>
      <c r="AX753" s="50"/>
    </row>
    <row r="754" spans="14:50" x14ac:dyDescent="0.3">
      <c r="N754" s="50"/>
      <c r="O754" s="50"/>
      <c r="P754" s="50"/>
      <c r="Q754" s="50"/>
      <c r="R754" s="50"/>
      <c r="S754" s="51"/>
      <c r="T754" s="50"/>
      <c r="U754" s="50"/>
      <c r="V754" s="73"/>
      <c r="W754" s="50"/>
      <c r="X754" s="50"/>
      <c r="AN754" s="50"/>
      <c r="AO754" s="50"/>
      <c r="AP754" s="50"/>
      <c r="AQ754" s="50"/>
      <c r="AR754" s="50"/>
      <c r="AS754" s="51"/>
      <c r="AT754" s="50"/>
      <c r="AU754" s="50"/>
      <c r="AV754" s="73"/>
      <c r="AW754" s="50"/>
      <c r="AX754" s="50"/>
    </row>
    <row r="755" spans="14:50" x14ac:dyDescent="0.3">
      <c r="N755" s="50"/>
      <c r="O755" s="50"/>
      <c r="P755" s="50"/>
      <c r="Q755" s="50"/>
      <c r="R755" s="50"/>
      <c r="S755" s="51"/>
      <c r="T755" s="50"/>
      <c r="U755" s="50"/>
      <c r="V755" s="73"/>
      <c r="W755" s="50"/>
      <c r="X755" s="50"/>
      <c r="AN755" s="50"/>
      <c r="AO755" s="50"/>
      <c r="AP755" s="50"/>
      <c r="AQ755" s="50"/>
      <c r="AR755" s="50"/>
      <c r="AS755" s="51"/>
      <c r="AT755" s="50"/>
      <c r="AU755" s="50"/>
      <c r="AV755" s="73"/>
      <c r="AW755" s="50"/>
      <c r="AX755" s="50"/>
    </row>
    <row r="756" spans="14:50" x14ac:dyDescent="0.3">
      <c r="N756" s="50"/>
      <c r="O756" s="50"/>
      <c r="P756" s="50"/>
      <c r="Q756" s="50"/>
      <c r="R756" s="50"/>
      <c r="S756" s="51"/>
      <c r="T756" s="50"/>
      <c r="U756" s="50"/>
      <c r="V756" s="73"/>
      <c r="W756" s="50"/>
      <c r="X756" s="50"/>
      <c r="AN756" s="50"/>
      <c r="AO756" s="50"/>
      <c r="AP756" s="50"/>
      <c r="AQ756" s="50"/>
      <c r="AR756" s="50"/>
      <c r="AS756" s="51"/>
      <c r="AT756" s="50"/>
      <c r="AU756" s="50"/>
      <c r="AV756" s="73"/>
      <c r="AW756" s="50"/>
      <c r="AX756" s="50"/>
    </row>
    <row r="757" spans="14:50" x14ac:dyDescent="0.3">
      <c r="N757" s="50"/>
      <c r="O757" s="50"/>
      <c r="P757" s="50"/>
      <c r="Q757" s="50"/>
      <c r="R757" s="50"/>
      <c r="S757" s="51"/>
      <c r="T757" s="50"/>
      <c r="U757" s="50"/>
      <c r="V757" s="73"/>
      <c r="W757" s="50"/>
      <c r="X757" s="50"/>
      <c r="AN757" s="50"/>
      <c r="AO757" s="50"/>
      <c r="AP757" s="50"/>
      <c r="AQ757" s="50"/>
      <c r="AR757" s="50"/>
      <c r="AS757" s="51"/>
      <c r="AT757" s="50"/>
      <c r="AU757" s="50"/>
      <c r="AV757" s="73"/>
      <c r="AW757" s="50"/>
      <c r="AX757" s="50"/>
    </row>
    <row r="758" spans="14:50" x14ac:dyDescent="0.3">
      <c r="N758" s="50"/>
      <c r="O758" s="50"/>
      <c r="P758" s="50"/>
      <c r="Q758" s="50"/>
      <c r="R758" s="50"/>
      <c r="S758" s="51"/>
      <c r="T758" s="50"/>
      <c r="U758" s="50"/>
      <c r="V758" s="73"/>
      <c r="W758" s="50"/>
      <c r="X758" s="50"/>
      <c r="AN758" s="50"/>
      <c r="AO758" s="50"/>
      <c r="AP758" s="50"/>
      <c r="AQ758" s="50"/>
      <c r="AR758" s="50"/>
      <c r="AS758" s="51"/>
      <c r="AT758" s="50"/>
      <c r="AU758" s="50"/>
      <c r="AV758" s="73"/>
      <c r="AW758" s="50"/>
      <c r="AX758" s="50"/>
    </row>
    <row r="759" spans="14:50" x14ac:dyDescent="0.3">
      <c r="N759" s="50"/>
      <c r="O759" s="50"/>
      <c r="P759" s="50"/>
      <c r="Q759" s="50"/>
      <c r="R759" s="50"/>
      <c r="S759" s="51"/>
      <c r="T759" s="50"/>
      <c r="U759" s="50"/>
      <c r="V759" s="73"/>
      <c r="W759" s="50"/>
      <c r="X759" s="50"/>
      <c r="AN759" s="50"/>
      <c r="AO759" s="50"/>
      <c r="AP759" s="50"/>
      <c r="AQ759" s="50"/>
      <c r="AR759" s="50"/>
      <c r="AS759" s="51"/>
      <c r="AT759" s="50"/>
      <c r="AU759" s="50"/>
      <c r="AV759" s="73"/>
      <c r="AW759" s="50"/>
      <c r="AX759" s="50"/>
    </row>
    <row r="760" spans="14:50" x14ac:dyDescent="0.3">
      <c r="N760" s="50"/>
      <c r="O760" s="50"/>
      <c r="P760" s="50"/>
      <c r="Q760" s="50"/>
      <c r="R760" s="50"/>
      <c r="S760" s="51"/>
      <c r="T760" s="50"/>
      <c r="U760" s="50"/>
      <c r="V760" s="73"/>
      <c r="W760" s="50"/>
      <c r="X760" s="50"/>
      <c r="AN760" s="50"/>
      <c r="AO760" s="50"/>
      <c r="AP760" s="50"/>
      <c r="AQ760" s="50"/>
      <c r="AR760" s="50"/>
      <c r="AS760" s="51"/>
      <c r="AT760" s="50"/>
      <c r="AU760" s="50"/>
      <c r="AV760" s="73"/>
      <c r="AW760" s="50"/>
      <c r="AX760" s="50"/>
    </row>
    <row r="761" spans="14:50" x14ac:dyDescent="0.3">
      <c r="N761" s="50"/>
      <c r="O761" s="50"/>
      <c r="P761" s="50"/>
      <c r="Q761" s="50"/>
      <c r="R761" s="50"/>
      <c r="S761" s="51"/>
      <c r="T761" s="50"/>
      <c r="U761" s="50"/>
      <c r="V761" s="73"/>
      <c r="W761" s="50"/>
      <c r="X761" s="50"/>
      <c r="AN761" s="50"/>
      <c r="AO761" s="50"/>
      <c r="AP761" s="50"/>
      <c r="AQ761" s="50"/>
      <c r="AR761" s="50"/>
      <c r="AS761" s="51"/>
      <c r="AT761" s="50"/>
      <c r="AU761" s="50"/>
      <c r="AV761" s="73"/>
      <c r="AW761" s="50"/>
      <c r="AX761" s="50"/>
    </row>
    <row r="762" spans="14:50" x14ac:dyDescent="0.3">
      <c r="N762" s="50"/>
      <c r="O762" s="50"/>
      <c r="P762" s="50"/>
      <c r="Q762" s="50"/>
      <c r="R762" s="50"/>
      <c r="S762" s="51"/>
      <c r="T762" s="50"/>
      <c r="U762" s="50"/>
      <c r="V762" s="73"/>
      <c r="W762" s="50"/>
      <c r="X762" s="50"/>
      <c r="AN762" s="50"/>
      <c r="AO762" s="50"/>
      <c r="AP762" s="50"/>
      <c r="AQ762" s="50"/>
      <c r="AR762" s="50"/>
      <c r="AS762" s="51"/>
      <c r="AT762" s="50"/>
      <c r="AU762" s="50"/>
      <c r="AV762" s="73"/>
      <c r="AW762" s="50"/>
      <c r="AX762" s="50"/>
    </row>
    <row r="763" spans="14:50" x14ac:dyDescent="0.3">
      <c r="N763" s="50"/>
      <c r="O763" s="50"/>
      <c r="P763" s="50"/>
      <c r="Q763" s="50"/>
      <c r="R763" s="50"/>
      <c r="S763" s="51"/>
      <c r="T763" s="50"/>
      <c r="U763" s="50"/>
      <c r="V763" s="73"/>
      <c r="W763" s="50"/>
      <c r="X763" s="50"/>
      <c r="AN763" s="50"/>
      <c r="AO763" s="50"/>
      <c r="AP763" s="50"/>
      <c r="AQ763" s="50"/>
      <c r="AR763" s="50"/>
      <c r="AS763" s="51"/>
      <c r="AT763" s="50"/>
      <c r="AU763" s="50"/>
      <c r="AV763" s="73"/>
      <c r="AW763" s="50"/>
      <c r="AX763" s="50"/>
    </row>
    <row r="764" spans="14:50" x14ac:dyDescent="0.3">
      <c r="N764" s="50"/>
      <c r="O764" s="50"/>
      <c r="P764" s="50"/>
      <c r="Q764" s="50"/>
      <c r="R764" s="50"/>
      <c r="S764" s="51"/>
      <c r="T764" s="50"/>
      <c r="U764" s="50"/>
      <c r="V764" s="73"/>
      <c r="W764" s="50"/>
      <c r="X764" s="50"/>
      <c r="AN764" s="50"/>
      <c r="AO764" s="50"/>
      <c r="AP764" s="50"/>
      <c r="AQ764" s="50"/>
      <c r="AR764" s="50"/>
      <c r="AS764" s="51"/>
      <c r="AT764" s="50"/>
      <c r="AU764" s="50"/>
      <c r="AV764" s="73"/>
      <c r="AW764" s="50"/>
      <c r="AX764" s="50"/>
    </row>
    <row r="765" spans="14:50" x14ac:dyDescent="0.3">
      <c r="N765" s="50"/>
      <c r="O765" s="50"/>
      <c r="P765" s="50"/>
      <c r="Q765" s="50"/>
      <c r="R765" s="50"/>
      <c r="S765" s="51"/>
      <c r="T765" s="50"/>
      <c r="U765" s="50"/>
      <c r="V765" s="73"/>
      <c r="W765" s="50"/>
      <c r="X765" s="50"/>
      <c r="AN765" s="50"/>
      <c r="AO765" s="50"/>
      <c r="AP765" s="50"/>
      <c r="AQ765" s="50"/>
      <c r="AR765" s="50"/>
      <c r="AS765" s="51"/>
      <c r="AT765" s="50"/>
      <c r="AU765" s="50"/>
      <c r="AV765" s="73"/>
      <c r="AW765" s="50"/>
      <c r="AX765" s="50"/>
    </row>
    <row r="766" spans="14:50" x14ac:dyDescent="0.3">
      <c r="N766" s="50"/>
      <c r="O766" s="50"/>
      <c r="P766" s="50"/>
      <c r="Q766" s="50"/>
      <c r="R766" s="50"/>
      <c r="S766" s="51"/>
      <c r="T766" s="50"/>
      <c r="U766" s="50"/>
      <c r="V766" s="73"/>
      <c r="W766" s="50"/>
      <c r="X766" s="50"/>
      <c r="AN766" s="50"/>
      <c r="AO766" s="50"/>
      <c r="AP766" s="50"/>
      <c r="AQ766" s="50"/>
      <c r="AR766" s="50"/>
      <c r="AS766" s="51"/>
      <c r="AT766" s="50"/>
      <c r="AU766" s="50"/>
      <c r="AV766" s="73"/>
      <c r="AW766" s="50"/>
      <c r="AX766" s="50"/>
    </row>
    <row r="767" spans="14:50" x14ac:dyDescent="0.3">
      <c r="N767" s="50"/>
      <c r="O767" s="50"/>
      <c r="P767" s="50"/>
      <c r="Q767" s="50"/>
      <c r="R767" s="50"/>
      <c r="S767" s="51"/>
      <c r="T767" s="50"/>
      <c r="U767" s="50"/>
      <c r="V767" s="73"/>
      <c r="W767" s="50"/>
      <c r="X767" s="50"/>
      <c r="AN767" s="50"/>
      <c r="AO767" s="50"/>
      <c r="AP767" s="50"/>
      <c r="AQ767" s="50"/>
      <c r="AR767" s="50"/>
      <c r="AS767" s="51"/>
      <c r="AT767" s="50"/>
      <c r="AU767" s="50"/>
      <c r="AV767" s="73"/>
      <c r="AW767" s="50"/>
      <c r="AX767" s="50"/>
    </row>
    <row r="768" spans="14:50" x14ac:dyDescent="0.3">
      <c r="N768" s="50"/>
      <c r="O768" s="50"/>
      <c r="P768" s="50"/>
      <c r="Q768" s="50"/>
      <c r="R768" s="50"/>
      <c r="S768" s="51"/>
      <c r="T768" s="50"/>
      <c r="U768" s="50"/>
      <c r="V768" s="73"/>
      <c r="W768" s="50"/>
      <c r="X768" s="50"/>
      <c r="AN768" s="50"/>
      <c r="AO768" s="50"/>
      <c r="AP768" s="50"/>
      <c r="AQ768" s="50"/>
      <c r="AR768" s="50"/>
      <c r="AS768" s="51"/>
      <c r="AT768" s="50"/>
      <c r="AU768" s="50"/>
      <c r="AV768" s="73"/>
      <c r="AW768" s="50"/>
      <c r="AX768" s="50"/>
    </row>
    <row r="769" spans="14:50" x14ac:dyDescent="0.3">
      <c r="N769" s="50"/>
      <c r="O769" s="50"/>
      <c r="P769" s="50"/>
      <c r="Q769" s="50"/>
      <c r="R769" s="50"/>
      <c r="S769" s="51"/>
      <c r="T769" s="50"/>
      <c r="U769" s="50"/>
      <c r="V769" s="73"/>
      <c r="W769" s="50"/>
      <c r="X769" s="50"/>
      <c r="AN769" s="50"/>
      <c r="AO769" s="50"/>
      <c r="AP769" s="50"/>
      <c r="AQ769" s="50"/>
      <c r="AR769" s="50"/>
      <c r="AS769" s="51"/>
      <c r="AT769" s="50"/>
      <c r="AU769" s="50"/>
      <c r="AV769" s="73"/>
      <c r="AW769" s="50"/>
      <c r="AX769" s="50"/>
    </row>
    <row r="770" spans="14:50" x14ac:dyDescent="0.3">
      <c r="N770" s="50"/>
      <c r="O770" s="50"/>
      <c r="P770" s="50"/>
      <c r="Q770" s="50"/>
      <c r="R770" s="50"/>
      <c r="S770" s="51"/>
      <c r="T770" s="50"/>
      <c r="U770" s="50"/>
      <c r="V770" s="73"/>
      <c r="W770" s="50"/>
      <c r="X770" s="50"/>
      <c r="AN770" s="50"/>
      <c r="AO770" s="50"/>
      <c r="AP770" s="50"/>
      <c r="AQ770" s="50"/>
      <c r="AR770" s="50"/>
      <c r="AS770" s="51"/>
      <c r="AT770" s="50"/>
      <c r="AU770" s="50"/>
      <c r="AV770" s="73"/>
      <c r="AW770" s="50"/>
      <c r="AX770" s="50"/>
    </row>
    <row r="771" spans="14:50" x14ac:dyDescent="0.3">
      <c r="N771" s="50"/>
      <c r="O771" s="50"/>
      <c r="P771" s="50"/>
      <c r="Q771" s="50"/>
      <c r="R771" s="50"/>
      <c r="S771" s="51"/>
      <c r="T771" s="50"/>
      <c r="U771" s="50"/>
      <c r="V771" s="73"/>
      <c r="W771" s="50"/>
      <c r="X771" s="50"/>
      <c r="AN771" s="50"/>
      <c r="AO771" s="50"/>
      <c r="AP771" s="50"/>
      <c r="AQ771" s="50"/>
      <c r="AR771" s="50"/>
      <c r="AS771" s="51"/>
      <c r="AT771" s="50"/>
      <c r="AU771" s="50"/>
      <c r="AV771" s="73"/>
      <c r="AW771" s="50"/>
      <c r="AX771" s="50"/>
    </row>
    <row r="772" spans="14:50" x14ac:dyDescent="0.3">
      <c r="N772" s="50"/>
      <c r="O772" s="50"/>
      <c r="P772" s="50"/>
      <c r="Q772" s="50"/>
      <c r="R772" s="50"/>
      <c r="S772" s="51"/>
      <c r="T772" s="50"/>
      <c r="U772" s="50"/>
      <c r="V772" s="73"/>
      <c r="W772" s="50"/>
      <c r="X772" s="50"/>
      <c r="AN772" s="50"/>
      <c r="AO772" s="50"/>
      <c r="AP772" s="50"/>
      <c r="AQ772" s="50"/>
      <c r="AR772" s="50"/>
      <c r="AS772" s="51"/>
      <c r="AT772" s="50"/>
      <c r="AU772" s="50"/>
      <c r="AV772" s="73"/>
      <c r="AW772" s="50"/>
      <c r="AX772" s="50"/>
    </row>
    <row r="773" spans="14:50" x14ac:dyDescent="0.3">
      <c r="N773" s="50"/>
      <c r="O773" s="50"/>
      <c r="P773" s="50"/>
      <c r="Q773" s="50"/>
      <c r="R773" s="50"/>
      <c r="S773" s="51"/>
      <c r="T773" s="50"/>
      <c r="U773" s="50"/>
      <c r="V773" s="73"/>
      <c r="W773" s="50"/>
      <c r="X773" s="50"/>
      <c r="AN773" s="50"/>
      <c r="AO773" s="50"/>
      <c r="AP773" s="50"/>
      <c r="AQ773" s="50"/>
      <c r="AR773" s="50"/>
      <c r="AS773" s="51"/>
      <c r="AT773" s="50"/>
      <c r="AU773" s="50"/>
      <c r="AV773" s="73"/>
      <c r="AW773" s="50"/>
      <c r="AX773" s="50"/>
    </row>
    <row r="774" spans="14:50" x14ac:dyDescent="0.3">
      <c r="N774" s="50"/>
      <c r="O774" s="50"/>
      <c r="P774" s="50"/>
      <c r="Q774" s="50"/>
      <c r="R774" s="50"/>
      <c r="S774" s="51"/>
      <c r="T774" s="50"/>
      <c r="U774" s="50"/>
      <c r="V774" s="73"/>
      <c r="W774" s="50"/>
      <c r="X774" s="50"/>
      <c r="AN774" s="50"/>
      <c r="AO774" s="50"/>
      <c r="AP774" s="50"/>
      <c r="AQ774" s="50"/>
      <c r="AR774" s="50"/>
      <c r="AS774" s="51"/>
      <c r="AT774" s="50"/>
      <c r="AU774" s="50"/>
      <c r="AV774" s="73"/>
      <c r="AW774" s="50"/>
      <c r="AX774" s="50"/>
    </row>
    <row r="775" spans="14:50" x14ac:dyDescent="0.3">
      <c r="N775" s="50"/>
      <c r="O775" s="50"/>
      <c r="P775" s="50"/>
      <c r="Q775" s="50"/>
      <c r="R775" s="50"/>
      <c r="S775" s="51"/>
      <c r="T775" s="50"/>
      <c r="U775" s="50"/>
      <c r="V775" s="73"/>
      <c r="W775" s="50"/>
      <c r="X775" s="50"/>
      <c r="AN775" s="50"/>
      <c r="AO775" s="50"/>
      <c r="AP775" s="50"/>
      <c r="AQ775" s="50"/>
      <c r="AR775" s="50"/>
      <c r="AS775" s="51"/>
      <c r="AT775" s="50"/>
      <c r="AU775" s="50"/>
      <c r="AV775" s="73"/>
      <c r="AW775" s="50"/>
      <c r="AX775" s="50"/>
    </row>
    <row r="776" spans="14:50" x14ac:dyDescent="0.3">
      <c r="N776" s="50"/>
      <c r="O776" s="50"/>
      <c r="P776" s="50"/>
      <c r="Q776" s="50"/>
      <c r="R776" s="50"/>
      <c r="S776" s="51"/>
      <c r="T776" s="50"/>
      <c r="U776" s="50"/>
      <c r="V776" s="73"/>
      <c r="W776" s="50"/>
      <c r="X776" s="50"/>
      <c r="AN776" s="50"/>
      <c r="AO776" s="50"/>
      <c r="AP776" s="50"/>
      <c r="AQ776" s="50"/>
      <c r="AR776" s="50"/>
      <c r="AS776" s="51"/>
      <c r="AT776" s="50"/>
      <c r="AU776" s="50"/>
      <c r="AV776" s="73"/>
      <c r="AW776" s="50"/>
      <c r="AX776" s="50"/>
    </row>
    <row r="777" spans="14:50" x14ac:dyDescent="0.3">
      <c r="N777" s="50"/>
      <c r="O777" s="50"/>
      <c r="P777" s="50"/>
      <c r="Q777" s="50"/>
      <c r="R777" s="50"/>
      <c r="S777" s="51"/>
      <c r="T777" s="50"/>
      <c r="U777" s="50"/>
      <c r="V777" s="73"/>
      <c r="W777" s="50"/>
      <c r="X777" s="50"/>
      <c r="AN777" s="50"/>
      <c r="AO777" s="50"/>
      <c r="AP777" s="50"/>
      <c r="AQ777" s="50"/>
      <c r="AR777" s="50"/>
      <c r="AS777" s="51"/>
      <c r="AT777" s="50"/>
      <c r="AU777" s="50"/>
      <c r="AV777" s="73"/>
      <c r="AW777" s="50"/>
      <c r="AX777" s="50"/>
    </row>
    <row r="778" spans="14:50" x14ac:dyDescent="0.3">
      <c r="N778" s="50"/>
      <c r="O778" s="50"/>
      <c r="P778" s="50"/>
      <c r="Q778" s="50"/>
      <c r="R778" s="50"/>
      <c r="S778" s="51"/>
      <c r="T778" s="50"/>
      <c r="U778" s="50"/>
      <c r="V778" s="73"/>
      <c r="W778" s="50"/>
      <c r="X778" s="50"/>
      <c r="AN778" s="50"/>
      <c r="AO778" s="50"/>
      <c r="AP778" s="50"/>
      <c r="AQ778" s="50"/>
      <c r="AR778" s="50"/>
      <c r="AS778" s="51"/>
      <c r="AT778" s="50"/>
      <c r="AU778" s="50"/>
      <c r="AV778" s="73"/>
      <c r="AW778" s="50"/>
      <c r="AX778" s="50"/>
    </row>
    <row r="779" spans="14:50" x14ac:dyDescent="0.3">
      <c r="N779" s="50"/>
      <c r="O779" s="50"/>
      <c r="P779" s="50"/>
      <c r="Q779" s="50"/>
      <c r="R779" s="50"/>
      <c r="S779" s="51"/>
      <c r="T779" s="50"/>
      <c r="U779" s="50"/>
      <c r="V779" s="73"/>
      <c r="W779" s="50"/>
      <c r="X779" s="50"/>
      <c r="AN779" s="50"/>
      <c r="AO779" s="50"/>
      <c r="AP779" s="50"/>
      <c r="AQ779" s="50"/>
      <c r="AR779" s="50"/>
      <c r="AS779" s="51"/>
      <c r="AT779" s="50"/>
      <c r="AU779" s="50"/>
      <c r="AV779" s="73"/>
      <c r="AW779" s="50"/>
      <c r="AX779" s="50"/>
    </row>
    <row r="780" spans="14:50" x14ac:dyDescent="0.3">
      <c r="N780" s="50"/>
      <c r="O780" s="50"/>
      <c r="P780" s="50"/>
      <c r="Q780" s="50"/>
      <c r="R780" s="50"/>
      <c r="S780" s="51"/>
      <c r="T780" s="50"/>
      <c r="U780" s="50"/>
      <c r="V780" s="73"/>
      <c r="W780" s="50"/>
      <c r="X780" s="50"/>
      <c r="AN780" s="50"/>
      <c r="AO780" s="50"/>
      <c r="AP780" s="50"/>
      <c r="AQ780" s="50"/>
      <c r="AR780" s="50"/>
      <c r="AS780" s="51"/>
      <c r="AT780" s="50"/>
      <c r="AU780" s="50"/>
      <c r="AV780" s="73"/>
      <c r="AW780" s="50"/>
      <c r="AX780" s="50"/>
    </row>
    <row r="781" spans="14:50" x14ac:dyDescent="0.3">
      <c r="N781" s="50"/>
      <c r="O781" s="50"/>
      <c r="P781" s="50"/>
      <c r="Q781" s="50"/>
      <c r="R781" s="50"/>
      <c r="S781" s="51"/>
      <c r="T781" s="50"/>
      <c r="U781" s="50"/>
      <c r="V781" s="73"/>
      <c r="W781" s="50"/>
      <c r="X781" s="50"/>
      <c r="AN781" s="50"/>
      <c r="AO781" s="50"/>
      <c r="AP781" s="50"/>
      <c r="AQ781" s="50"/>
      <c r="AR781" s="50"/>
      <c r="AS781" s="51"/>
      <c r="AT781" s="50"/>
      <c r="AU781" s="50"/>
      <c r="AV781" s="73"/>
      <c r="AW781" s="50"/>
      <c r="AX781" s="50"/>
    </row>
    <row r="782" spans="14:50" x14ac:dyDescent="0.3">
      <c r="N782" s="50"/>
      <c r="O782" s="50"/>
      <c r="P782" s="50"/>
      <c r="Q782" s="50"/>
      <c r="R782" s="50"/>
      <c r="S782" s="51"/>
      <c r="T782" s="50"/>
      <c r="U782" s="50"/>
      <c r="V782" s="73"/>
      <c r="W782" s="50"/>
      <c r="X782" s="50"/>
      <c r="AN782" s="50"/>
      <c r="AO782" s="50"/>
      <c r="AP782" s="50"/>
      <c r="AQ782" s="50"/>
      <c r="AR782" s="50"/>
      <c r="AS782" s="51"/>
      <c r="AT782" s="50"/>
      <c r="AU782" s="50"/>
      <c r="AV782" s="73"/>
      <c r="AW782" s="50"/>
      <c r="AX782" s="50"/>
    </row>
    <row r="783" spans="14:50" x14ac:dyDescent="0.3">
      <c r="N783" s="50"/>
      <c r="O783" s="50"/>
      <c r="P783" s="50"/>
      <c r="Q783" s="50"/>
      <c r="R783" s="50"/>
      <c r="S783" s="51"/>
      <c r="T783" s="50"/>
      <c r="U783" s="50"/>
      <c r="V783" s="73"/>
      <c r="W783" s="50"/>
      <c r="X783" s="50"/>
      <c r="AN783" s="50"/>
      <c r="AO783" s="50"/>
      <c r="AP783" s="50"/>
      <c r="AQ783" s="50"/>
      <c r="AR783" s="50"/>
      <c r="AS783" s="51"/>
      <c r="AT783" s="50"/>
      <c r="AU783" s="50"/>
      <c r="AV783" s="73"/>
      <c r="AW783" s="50"/>
      <c r="AX783" s="50"/>
    </row>
    <row r="784" spans="14:50" x14ac:dyDescent="0.3">
      <c r="N784" s="50"/>
      <c r="O784" s="50"/>
      <c r="P784" s="50"/>
      <c r="Q784" s="50"/>
      <c r="R784" s="50"/>
      <c r="S784" s="51"/>
      <c r="T784" s="50"/>
      <c r="U784" s="50"/>
      <c r="V784" s="73"/>
      <c r="W784" s="50"/>
      <c r="X784" s="50"/>
      <c r="AN784" s="50"/>
      <c r="AO784" s="50"/>
      <c r="AP784" s="50"/>
      <c r="AQ784" s="50"/>
      <c r="AR784" s="50"/>
      <c r="AS784" s="51"/>
      <c r="AT784" s="50"/>
      <c r="AU784" s="50"/>
      <c r="AV784" s="73"/>
      <c r="AW784" s="50"/>
      <c r="AX784" s="50"/>
    </row>
    <row r="785" spans="14:50" x14ac:dyDescent="0.3">
      <c r="N785" s="50"/>
      <c r="O785" s="50"/>
      <c r="P785" s="50"/>
      <c r="Q785" s="50"/>
      <c r="R785" s="50"/>
      <c r="S785" s="51"/>
      <c r="T785" s="50"/>
      <c r="U785" s="50"/>
      <c r="V785" s="73"/>
      <c r="W785" s="50"/>
      <c r="X785" s="50"/>
      <c r="AN785" s="50"/>
      <c r="AO785" s="50"/>
      <c r="AP785" s="50"/>
      <c r="AQ785" s="50"/>
      <c r="AR785" s="50"/>
      <c r="AS785" s="51"/>
      <c r="AT785" s="50"/>
      <c r="AU785" s="50"/>
      <c r="AV785" s="73"/>
      <c r="AW785" s="50"/>
      <c r="AX785" s="50"/>
    </row>
    <row r="786" spans="14:50" x14ac:dyDescent="0.3">
      <c r="N786" s="50"/>
      <c r="O786" s="50"/>
      <c r="P786" s="50"/>
      <c r="Q786" s="50"/>
      <c r="R786" s="50"/>
      <c r="S786" s="51"/>
      <c r="T786" s="50"/>
      <c r="U786" s="50"/>
      <c r="V786" s="73"/>
      <c r="W786" s="50"/>
      <c r="X786" s="50"/>
      <c r="AN786" s="50"/>
      <c r="AO786" s="50"/>
      <c r="AP786" s="50"/>
      <c r="AQ786" s="50"/>
      <c r="AR786" s="50"/>
      <c r="AS786" s="51"/>
      <c r="AT786" s="50"/>
      <c r="AU786" s="50"/>
      <c r="AV786" s="73"/>
      <c r="AW786" s="50"/>
      <c r="AX786" s="50"/>
    </row>
    <row r="787" spans="14:50" x14ac:dyDescent="0.3">
      <c r="N787" s="50"/>
      <c r="O787" s="50"/>
      <c r="P787" s="50"/>
      <c r="Q787" s="50"/>
      <c r="R787" s="50"/>
      <c r="S787" s="51"/>
      <c r="T787" s="50"/>
      <c r="U787" s="50"/>
      <c r="V787" s="73"/>
      <c r="W787" s="50"/>
      <c r="X787" s="50"/>
      <c r="AN787" s="50"/>
      <c r="AO787" s="50"/>
      <c r="AP787" s="50"/>
      <c r="AQ787" s="50"/>
      <c r="AR787" s="50"/>
      <c r="AS787" s="51"/>
      <c r="AT787" s="50"/>
      <c r="AU787" s="50"/>
      <c r="AV787" s="73"/>
      <c r="AW787" s="50"/>
      <c r="AX787" s="50"/>
    </row>
    <row r="788" spans="14:50" x14ac:dyDescent="0.3">
      <c r="N788" s="50"/>
      <c r="O788" s="50"/>
      <c r="P788" s="50"/>
      <c r="Q788" s="50"/>
      <c r="R788" s="50"/>
      <c r="S788" s="51"/>
      <c r="T788" s="50"/>
      <c r="U788" s="50"/>
      <c r="V788" s="73"/>
      <c r="W788" s="50"/>
      <c r="X788" s="50"/>
      <c r="AN788" s="50"/>
      <c r="AO788" s="50"/>
      <c r="AP788" s="50"/>
      <c r="AQ788" s="50"/>
      <c r="AR788" s="50"/>
      <c r="AS788" s="51"/>
      <c r="AT788" s="50"/>
      <c r="AU788" s="50"/>
      <c r="AV788" s="73"/>
      <c r="AW788" s="50"/>
      <c r="AX788" s="50"/>
    </row>
    <row r="789" spans="14:50" x14ac:dyDescent="0.3">
      <c r="N789" s="50"/>
      <c r="O789" s="50"/>
      <c r="P789" s="50"/>
      <c r="Q789" s="50"/>
      <c r="R789" s="50"/>
      <c r="S789" s="51"/>
      <c r="T789" s="50"/>
      <c r="U789" s="50"/>
      <c r="V789" s="73"/>
      <c r="W789" s="50"/>
      <c r="X789" s="50"/>
      <c r="AN789" s="50"/>
      <c r="AO789" s="50"/>
      <c r="AP789" s="50"/>
      <c r="AQ789" s="50"/>
      <c r="AR789" s="50"/>
      <c r="AS789" s="51"/>
      <c r="AT789" s="50"/>
      <c r="AU789" s="50"/>
      <c r="AV789" s="73"/>
      <c r="AW789" s="50"/>
      <c r="AX789" s="50"/>
    </row>
    <row r="790" spans="14:50" x14ac:dyDescent="0.3">
      <c r="N790" s="50"/>
      <c r="O790" s="50"/>
      <c r="P790" s="50"/>
      <c r="Q790" s="50"/>
      <c r="R790" s="50"/>
      <c r="S790" s="51"/>
      <c r="T790" s="50"/>
      <c r="U790" s="50"/>
      <c r="V790" s="73"/>
      <c r="W790" s="50"/>
      <c r="X790" s="50"/>
      <c r="AN790" s="50"/>
      <c r="AO790" s="50"/>
      <c r="AP790" s="50"/>
      <c r="AQ790" s="50"/>
      <c r="AR790" s="50"/>
      <c r="AS790" s="51"/>
      <c r="AT790" s="50"/>
      <c r="AU790" s="50"/>
      <c r="AV790" s="73"/>
      <c r="AW790" s="50"/>
      <c r="AX790" s="50"/>
    </row>
    <row r="791" spans="14:50" x14ac:dyDescent="0.3">
      <c r="N791" s="50"/>
      <c r="O791" s="50"/>
      <c r="P791" s="50"/>
      <c r="Q791" s="50"/>
      <c r="R791" s="50"/>
      <c r="S791" s="51"/>
      <c r="T791" s="50"/>
      <c r="U791" s="50"/>
      <c r="V791" s="73"/>
      <c r="W791" s="50"/>
      <c r="X791" s="50"/>
      <c r="AN791" s="50"/>
      <c r="AO791" s="50"/>
      <c r="AP791" s="50"/>
      <c r="AQ791" s="50"/>
      <c r="AR791" s="50"/>
      <c r="AS791" s="51"/>
      <c r="AT791" s="50"/>
      <c r="AU791" s="50"/>
      <c r="AV791" s="73"/>
      <c r="AW791" s="50"/>
      <c r="AX791" s="50"/>
    </row>
    <row r="792" spans="14:50" x14ac:dyDescent="0.3">
      <c r="N792" s="50"/>
      <c r="O792" s="50"/>
      <c r="P792" s="50"/>
      <c r="Q792" s="50"/>
      <c r="R792" s="50"/>
      <c r="S792" s="51"/>
      <c r="T792" s="50"/>
      <c r="U792" s="50"/>
      <c r="V792" s="73"/>
      <c r="W792" s="50"/>
      <c r="X792" s="50"/>
      <c r="AN792" s="50"/>
      <c r="AO792" s="50"/>
      <c r="AP792" s="50"/>
      <c r="AQ792" s="50"/>
      <c r="AR792" s="50"/>
      <c r="AS792" s="51"/>
      <c r="AT792" s="50"/>
      <c r="AU792" s="50"/>
      <c r="AV792" s="73"/>
      <c r="AW792" s="50"/>
      <c r="AX792" s="50"/>
    </row>
    <row r="793" spans="14:50" x14ac:dyDescent="0.3">
      <c r="N793" s="50"/>
      <c r="O793" s="50"/>
      <c r="P793" s="50"/>
      <c r="Q793" s="50"/>
      <c r="R793" s="50"/>
      <c r="S793" s="51"/>
      <c r="T793" s="50"/>
      <c r="U793" s="50"/>
      <c r="V793" s="73"/>
      <c r="W793" s="50"/>
      <c r="X793" s="50"/>
      <c r="AN793" s="50"/>
      <c r="AO793" s="50"/>
      <c r="AP793" s="50"/>
      <c r="AQ793" s="50"/>
      <c r="AR793" s="50"/>
      <c r="AS793" s="51"/>
      <c r="AT793" s="50"/>
      <c r="AU793" s="50"/>
      <c r="AV793" s="73"/>
      <c r="AW793" s="50"/>
      <c r="AX793" s="50"/>
    </row>
    <row r="794" spans="14:50" x14ac:dyDescent="0.3">
      <c r="N794" s="50"/>
      <c r="O794" s="50"/>
      <c r="P794" s="50"/>
      <c r="Q794" s="50"/>
      <c r="R794" s="50"/>
      <c r="S794" s="51"/>
      <c r="T794" s="50"/>
      <c r="U794" s="50"/>
      <c r="V794" s="73"/>
      <c r="W794" s="50"/>
      <c r="X794" s="50"/>
      <c r="AN794" s="50"/>
      <c r="AO794" s="50"/>
      <c r="AP794" s="50"/>
      <c r="AQ794" s="50"/>
      <c r="AR794" s="50"/>
      <c r="AS794" s="51"/>
      <c r="AT794" s="50"/>
      <c r="AU794" s="50"/>
      <c r="AV794" s="73"/>
      <c r="AW794" s="50"/>
      <c r="AX794" s="50"/>
    </row>
    <row r="795" spans="14:50" x14ac:dyDescent="0.3">
      <c r="N795" s="50"/>
      <c r="O795" s="50"/>
      <c r="P795" s="50"/>
      <c r="Q795" s="50"/>
      <c r="R795" s="50"/>
      <c r="S795" s="51"/>
      <c r="T795" s="50"/>
      <c r="U795" s="50"/>
      <c r="V795" s="73"/>
      <c r="W795" s="50"/>
      <c r="X795" s="50"/>
      <c r="AN795" s="50"/>
      <c r="AO795" s="50"/>
      <c r="AP795" s="50"/>
      <c r="AQ795" s="50"/>
      <c r="AR795" s="50"/>
      <c r="AS795" s="51"/>
      <c r="AT795" s="50"/>
      <c r="AU795" s="50"/>
      <c r="AV795" s="73"/>
      <c r="AW795" s="50"/>
      <c r="AX795" s="50"/>
    </row>
    <row r="796" spans="14:50" x14ac:dyDescent="0.3">
      <c r="N796" s="50"/>
      <c r="O796" s="50"/>
      <c r="P796" s="50"/>
      <c r="Q796" s="50"/>
      <c r="R796" s="50"/>
      <c r="S796" s="51"/>
      <c r="T796" s="50"/>
      <c r="U796" s="50"/>
      <c r="V796" s="73"/>
      <c r="W796" s="50"/>
      <c r="X796" s="50"/>
      <c r="AN796" s="50"/>
      <c r="AO796" s="50"/>
      <c r="AP796" s="50"/>
      <c r="AQ796" s="50"/>
      <c r="AR796" s="50"/>
      <c r="AS796" s="51"/>
      <c r="AT796" s="50"/>
      <c r="AU796" s="50"/>
      <c r="AV796" s="73"/>
      <c r="AW796" s="50"/>
      <c r="AX796" s="50"/>
    </row>
    <row r="797" spans="14:50" x14ac:dyDescent="0.3">
      <c r="N797" s="50"/>
      <c r="O797" s="50"/>
      <c r="P797" s="50"/>
      <c r="Q797" s="50"/>
      <c r="R797" s="50"/>
      <c r="S797" s="51"/>
      <c r="T797" s="50"/>
      <c r="U797" s="50"/>
      <c r="V797" s="73"/>
      <c r="W797" s="50"/>
      <c r="X797" s="50"/>
      <c r="AN797" s="50"/>
      <c r="AO797" s="50"/>
      <c r="AP797" s="50"/>
      <c r="AQ797" s="50"/>
      <c r="AR797" s="50"/>
      <c r="AS797" s="51"/>
      <c r="AT797" s="50"/>
      <c r="AU797" s="50"/>
      <c r="AV797" s="73"/>
      <c r="AW797" s="50"/>
      <c r="AX797" s="50"/>
    </row>
    <row r="798" spans="14:50" x14ac:dyDescent="0.3">
      <c r="N798" s="50"/>
      <c r="O798" s="50"/>
      <c r="P798" s="50"/>
      <c r="Q798" s="50"/>
      <c r="R798" s="50"/>
      <c r="S798" s="51"/>
      <c r="T798" s="50"/>
      <c r="U798" s="50"/>
      <c r="V798" s="73"/>
      <c r="W798" s="50"/>
      <c r="X798" s="50"/>
      <c r="AN798" s="50"/>
      <c r="AO798" s="50"/>
      <c r="AP798" s="50"/>
      <c r="AQ798" s="50"/>
      <c r="AR798" s="50"/>
      <c r="AS798" s="51"/>
      <c r="AT798" s="50"/>
      <c r="AU798" s="50"/>
      <c r="AV798" s="73"/>
      <c r="AW798" s="50"/>
      <c r="AX798" s="50"/>
    </row>
    <row r="799" spans="14:50" x14ac:dyDescent="0.3">
      <c r="N799" s="50"/>
      <c r="O799" s="50"/>
      <c r="P799" s="50"/>
      <c r="Q799" s="50"/>
      <c r="R799" s="50"/>
      <c r="S799" s="51"/>
      <c r="T799" s="50"/>
      <c r="U799" s="50"/>
      <c r="V799" s="73"/>
      <c r="W799" s="50"/>
      <c r="X799" s="50"/>
      <c r="AN799" s="50"/>
      <c r="AO799" s="50"/>
      <c r="AP799" s="50"/>
      <c r="AQ799" s="50"/>
      <c r="AR799" s="50"/>
      <c r="AS799" s="51"/>
      <c r="AT799" s="50"/>
      <c r="AU799" s="50"/>
      <c r="AV799" s="73"/>
      <c r="AW799" s="50"/>
      <c r="AX799" s="50"/>
    </row>
    <row r="800" spans="14:50" x14ac:dyDescent="0.3">
      <c r="N800" s="50"/>
      <c r="O800" s="50"/>
      <c r="P800" s="50"/>
      <c r="Q800" s="50"/>
      <c r="R800" s="50"/>
      <c r="S800" s="51"/>
      <c r="T800" s="50"/>
      <c r="U800" s="50"/>
      <c r="V800" s="73"/>
      <c r="W800" s="50"/>
      <c r="X800" s="50"/>
      <c r="AN800" s="50"/>
      <c r="AO800" s="50"/>
      <c r="AP800" s="50"/>
      <c r="AQ800" s="50"/>
      <c r="AR800" s="50"/>
      <c r="AS800" s="51"/>
      <c r="AT800" s="50"/>
      <c r="AU800" s="50"/>
      <c r="AV800" s="73"/>
      <c r="AW800" s="50"/>
      <c r="AX800" s="50"/>
    </row>
    <row r="801" spans="14:50" x14ac:dyDescent="0.3">
      <c r="N801" s="50"/>
      <c r="O801" s="50"/>
      <c r="P801" s="50"/>
      <c r="Q801" s="50"/>
      <c r="R801" s="50"/>
      <c r="S801" s="51"/>
      <c r="T801" s="50"/>
      <c r="U801" s="50"/>
      <c r="V801" s="73"/>
      <c r="W801" s="50"/>
      <c r="X801" s="50"/>
      <c r="AN801" s="50"/>
      <c r="AO801" s="50"/>
      <c r="AP801" s="50"/>
      <c r="AQ801" s="50"/>
      <c r="AR801" s="50"/>
      <c r="AS801" s="51"/>
      <c r="AT801" s="50"/>
      <c r="AU801" s="50"/>
      <c r="AV801" s="73"/>
      <c r="AW801" s="50"/>
      <c r="AX801" s="50"/>
    </row>
    <row r="802" spans="14:50" x14ac:dyDescent="0.3">
      <c r="N802" s="50"/>
      <c r="O802" s="50"/>
      <c r="P802" s="50"/>
      <c r="Q802" s="50"/>
      <c r="R802" s="50"/>
      <c r="S802" s="51"/>
      <c r="T802" s="50"/>
      <c r="U802" s="50"/>
      <c r="V802" s="73"/>
      <c r="W802" s="50"/>
      <c r="X802" s="50"/>
      <c r="AN802" s="50"/>
      <c r="AO802" s="50"/>
      <c r="AP802" s="50"/>
      <c r="AQ802" s="50"/>
      <c r="AR802" s="50"/>
      <c r="AS802" s="51"/>
      <c r="AT802" s="50"/>
      <c r="AU802" s="50"/>
      <c r="AV802" s="73"/>
      <c r="AW802" s="50"/>
      <c r="AX802" s="50"/>
    </row>
    <row r="803" spans="14:50" x14ac:dyDescent="0.3">
      <c r="N803" s="50"/>
      <c r="O803" s="50"/>
      <c r="P803" s="50"/>
      <c r="Q803" s="50"/>
      <c r="R803" s="50"/>
      <c r="S803" s="51"/>
      <c r="T803" s="50"/>
      <c r="U803" s="50"/>
      <c r="V803" s="73"/>
      <c r="W803" s="50"/>
      <c r="X803" s="50"/>
      <c r="AN803" s="50"/>
      <c r="AO803" s="50"/>
      <c r="AP803" s="50"/>
      <c r="AQ803" s="50"/>
      <c r="AR803" s="50"/>
      <c r="AS803" s="51"/>
      <c r="AT803" s="50"/>
      <c r="AU803" s="50"/>
      <c r="AV803" s="73"/>
      <c r="AW803" s="50"/>
      <c r="AX803" s="50"/>
    </row>
    <row r="804" spans="14:50" x14ac:dyDescent="0.3">
      <c r="N804" s="50"/>
      <c r="O804" s="50"/>
      <c r="P804" s="50"/>
      <c r="Q804" s="50"/>
      <c r="R804" s="50"/>
      <c r="S804" s="51"/>
      <c r="T804" s="50"/>
      <c r="U804" s="50"/>
      <c r="V804" s="73"/>
      <c r="W804" s="50"/>
      <c r="X804" s="50"/>
      <c r="AN804" s="50"/>
      <c r="AO804" s="50"/>
      <c r="AP804" s="50"/>
      <c r="AQ804" s="50"/>
      <c r="AR804" s="50"/>
      <c r="AS804" s="51"/>
      <c r="AT804" s="50"/>
      <c r="AU804" s="50"/>
      <c r="AV804" s="73"/>
      <c r="AW804" s="50"/>
      <c r="AX804" s="50"/>
    </row>
    <row r="805" spans="14:50" x14ac:dyDescent="0.3">
      <c r="N805" s="50"/>
      <c r="O805" s="50"/>
      <c r="P805" s="50"/>
      <c r="Q805" s="50"/>
      <c r="R805" s="50"/>
      <c r="S805" s="51"/>
      <c r="T805" s="50"/>
      <c r="U805" s="50"/>
      <c r="V805" s="73"/>
      <c r="W805" s="50"/>
      <c r="X805" s="50"/>
      <c r="AN805" s="50"/>
      <c r="AO805" s="50"/>
      <c r="AP805" s="50"/>
      <c r="AQ805" s="50"/>
      <c r="AR805" s="50"/>
      <c r="AS805" s="51"/>
      <c r="AT805" s="50"/>
      <c r="AU805" s="50"/>
      <c r="AV805" s="73"/>
      <c r="AW805" s="50"/>
      <c r="AX805" s="50"/>
    </row>
    <row r="806" spans="14:50" x14ac:dyDescent="0.3">
      <c r="N806" s="50"/>
      <c r="O806" s="50"/>
      <c r="P806" s="50"/>
      <c r="Q806" s="50"/>
      <c r="R806" s="50"/>
      <c r="S806" s="51"/>
      <c r="T806" s="50"/>
      <c r="U806" s="50"/>
      <c r="V806" s="73"/>
      <c r="W806" s="50"/>
      <c r="X806" s="50"/>
      <c r="AN806" s="50"/>
      <c r="AO806" s="50"/>
      <c r="AP806" s="50"/>
      <c r="AQ806" s="50"/>
      <c r="AR806" s="50"/>
      <c r="AS806" s="51"/>
      <c r="AT806" s="50"/>
      <c r="AU806" s="50"/>
      <c r="AV806" s="73"/>
      <c r="AW806" s="50"/>
      <c r="AX806" s="50"/>
    </row>
    <row r="807" spans="14:50" x14ac:dyDescent="0.3">
      <c r="N807" s="50"/>
      <c r="O807" s="50"/>
      <c r="P807" s="50"/>
      <c r="Q807" s="50"/>
      <c r="R807" s="50"/>
      <c r="S807" s="51"/>
      <c r="T807" s="50"/>
      <c r="U807" s="50"/>
      <c r="V807" s="73"/>
      <c r="W807" s="50"/>
      <c r="X807" s="50"/>
      <c r="AN807" s="50"/>
      <c r="AO807" s="50"/>
      <c r="AP807" s="50"/>
      <c r="AQ807" s="50"/>
      <c r="AR807" s="50"/>
      <c r="AS807" s="51"/>
      <c r="AT807" s="50"/>
      <c r="AU807" s="50"/>
      <c r="AV807" s="73"/>
      <c r="AW807" s="50"/>
      <c r="AX807" s="50"/>
    </row>
    <row r="808" spans="14:50" x14ac:dyDescent="0.3">
      <c r="N808" s="50"/>
      <c r="O808" s="50"/>
      <c r="P808" s="50"/>
      <c r="Q808" s="50"/>
      <c r="R808" s="50"/>
      <c r="S808" s="51"/>
      <c r="T808" s="50"/>
      <c r="U808" s="50"/>
      <c r="V808" s="73"/>
      <c r="W808" s="50"/>
      <c r="X808" s="50"/>
      <c r="AN808" s="50"/>
      <c r="AO808" s="50"/>
      <c r="AP808" s="50"/>
      <c r="AQ808" s="50"/>
      <c r="AR808" s="50"/>
      <c r="AS808" s="51"/>
      <c r="AT808" s="50"/>
      <c r="AU808" s="50"/>
      <c r="AV808" s="73"/>
      <c r="AW808" s="50"/>
      <c r="AX808" s="50"/>
    </row>
    <row r="809" spans="14:50" x14ac:dyDescent="0.3">
      <c r="N809" s="50"/>
      <c r="O809" s="50"/>
      <c r="P809" s="50"/>
      <c r="Q809" s="50"/>
      <c r="R809" s="50"/>
      <c r="S809" s="51"/>
      <c r="T809" s="50"/>
      <c r="U809" s="50"/>
      <c r="V809" s="73"/>
      <c r="W809" s="50"/>
      <c r="X809" s="50"/>
      <c r="AN809" s="50"/>
      <c r="AO809" s="50"/>
      <c r="AP809" s="50"/>
      <c r="AQ809" s="50"/>
      <c r="AR809" s="50"/>
      <c r="AS809" s="51"/>
      <c r="AT809" s="50"/>
      <c r="AU809" s="50"/>
      <c r="AV809" s="73"/>
      <c r="AW809" s="50"/>
      <c r="AX809" s="50"/>
    </row>
    <row r="810" spans="14:50" x14ac:dyDescent="0.3">
      <c r="N810" s="50"/>
      <c r="O810" s="50"/>
      <c r="P810" s="50"/>
      <c r="Q810" s="50"/>
      <c r="R810" s="50"/>
      <c r="S810" s="51"/>
      <c r="T810" s="50"/>
      <c r="U810" s="50"/>
      <c r="V810" s="73"/>
      <c r="W810" s="50"/>
      <c r="X810" s="50"/>
      <c r="AN810" s="50"/>
      <c r="AO810" s="50"/>
      <c r="AP810" s="50"/>
      <c r="AQ810" s="50"/>
      <c r="AR810" s="50"/>
      <c r="AS810" s="51"/>
      <c r="AT810" s="50"/>
      <c r="AU810" s="50"/>
      <c r="AV810" s="73"/>
      <c r="AW810" s="50"/>
      <c r="AX810" s="50"/>
    </row>
    <row r="811" spans="14:50" x14ac:dyDescent="0.3">
      <c r="N811" s="50"/>
      <c r="O811" s="50"/>
      <c r="P811" s="50"/>
      <c r="Q811" s="50"/>
      <c r="R811" s="50"/>
      <c r="S811" s="51"/>
      <c r="T811" s="50"/>
      <c r="U811" s="50"/>
      <c r="V811" s="73"/>
      <c r="W811" s="50"/>
      <c r="X811" s="50"/>
      <c r="AN811" s="50"/>
      <c r="AO811" s="50"/>
      <c r="AP811" s="50"/>
      <c r="AQ811" s="50"/>
      <c r="AR811" s="50"/>
      <c r="AS811" s="51"/>
      <c r="AT811" s="50"/>
      <c r="AU811" s="50"/>
      <c r="AV811" s="73"/>
      <c r="AW811" s="50"/>
      <c r="AX811" s="50"/>
    </row>
    <row r="812" spans="14:50" x14ac:dyDescent="0.3">
      <c r="N812" s="50"/>
      <c r="O812" s="50"/>
      <c r="P812" s="50"/>
      <c r="Q812" s="50"/>
      <c r="R812" s="50"/>
      <c r="S812" s="51"/>
      <c r="T812" s="50"/>
      <c r="U812" s="50"/>
      <c r="V812" s="73"/>
      <c r="W812" s="50"/>
      <c r="X812" s="50"/>
      <c r="AN812" s="50"/>
      <c r="AO812" s="50"/>
      <c r="AP812" s="50"/>
      <c r="AQ812" s="50"/>
      <c r="AR812" s="50"/>
      <c r="AS812" s="51"/>
      <c r="AT812" s="50"/>
      <c r="AU812" s="50"/>
      <c r="AV812" s="73"/>
      <c r="AW812" s="50"/>
      <c r="AX812" s="50"/>
    </row>
    <row r="813" spans="14:50" x14ac:dyDescent="0.3">
      <c r="N813" s="50"/>
      <c r="O813" s="50"/>
      <c r="P813" s="50"/>
      <c r="Q813" s="50"/>
      <c r="R813" s="50"/>
      <c r="S813" s="51"/>
      <c r="T813" s="50"/>
      <c r="U813" s="50"/>
      <c r="V813" s="73"/>
      <c r="W813" s="50"/>
      <c r="X813" s="50"/>
      <c r="AN813" s="50"/>
      <c r="AO813" s="50"/>
      <c r="AP813" s="50"/>
      <c r="AQ813" s="50"/>
      <c r="AR813" s="50"/>
      <c r="AS813" s="51"/>
      <c r="AT813" s="50"/>
      <c r="AU813" s="50"/>
      <c r="AV813" s="73"/>
      <c r="AW813" s="50"/>
      <c r="AX813" s="50"/>
    </row>
    <row r="814" spans="14:50" x14ac:dyDescent="0.3">
      <c r="N814" s="50"/>
      <c r="O814" s="50"/>
      <c r="P814" s="50"/>
      <c r="Q814" s="50"/>
      <c r="R814" s="50"/>
      <c r="S814" s="51"/>
      <c r="T814" s="50"/>
      <c r="U814" s="50"/>
      <c r="V814" s="73"/>
      <c r="W814" s="50"/>
      <c r="X814" s="50"/>
      <c r="AN814" s="50"/>
      <c r="AO814" s="50"/>
      <c r="AP814" s="50"/>
      <c r="AQ814" s="50"/>
      <c r="AR814" s="50"/>
      <c r="AS814" s="51"/>
      <c r="AT814" s="50"/>
      <c r="AU814" s="50"/>
      <c r="AV814" s="73"/>
      <c r="AW814" s="50"/>
      <c r="AX814" s="50"/>
    </row>
    <row r="815" spans="14:50" x14ac:dyDescent="0.3">
      <c r="N815" s="50"/>
      <c r="O815" s="50"/>
      <c r="P815" s="50"/>
      <c r="Q815" s="50"/>
      <c r="R815" s="50"/>
      <c r="S815" s="51"/>
      <c r="T815" s="50"/>
      <c r="U815" s="50"/>
      <c r="V815" s="73"/>
      <c r="W815" s="50"/>
      <c r="X815" s="50"/>
      <c r="AN815" s="50"/>
      <c r="AO815" s="50"/>
      <c r="AP815" s="50"/>
      <c r="AQ815" s="50"/>
      <c r="AR815" s="50"/>
      <c r="AS815" s="51"/>
      <c r="AT815" s="50"/>
      <c r="AU815" s="50"/>
      <c r="AV815" s="73"/>
      <c r="AW815" s="50"/>
      <c r="AX815" s="50"/>
    </row>
    <row r="816" spans="14:50" x14ac:dyDescent="0.3">
      <c r="N816" s="50"/>
      <c r="O816" s="50"/>
      <c r="P816" s="50"/>
      <c r="Q816" s="50"/>
      <c r="R816" s="50"/>
      <c r="S816" s="51"/>
      <c r="T816" s="50"/>
      <c r="U816" s="50"/>
      <c r="V816" s="73"/>
      <c r="W816" s="50"/>
      <c r="X816" s="50"/>
      <c r="AN816" s="50"/>
      <c r="AO816" s="50"/>
      <c r="AP816" s="50"/>
      <c r="AQ816" s="50"/>
      <c r="AR816" s="50"/>
      <c r="AS816" s="51"/>
      <c r="AT816" s="50"/>
      <c r="AU816" s="50"/>
      <c r="AV816" s="73"/>
      <c r="AW816" s="50"/>
      <c r="AX816" s="50"/>
    </row>
    <row r="817" spans="14:50" x14ac:dyDescent="0.3">
      <c r="N817" s="50"/>
      <c r="O817" s="50"/>
      <c r="P817" s="50"/>
      <c r="Q817" s="50"/>
      <c r="R817" s="50"/>
      <c r="S817" s="51"/>
      <c r="T817" s="50"/>
      <c r="U817" s="50"/>
      <c r="V817" s="73"/>
      <c r="W817" s="50"/>
      <c r="X817" s="50"/>
      <c r="AN817" s="50"/>
      <c r="AO817" s="50"/>
      <c r="AP817" s="50"/>
      <c r="AQ817" s="50"/>
      <c r="AR817" s="50"/>
      <c r="AS817" s="51"/>
      <c r="AT817" s="50"/>
      <c r="AU817" s="50"/>
      <c r="AV817" s="73"/>
      <c r="AW817" s="50"/>
      <c r="AX817" s="50"/>
    </row>
    <row r="818" spans="14:50" x14ac:dyDescent="0.3">
      <c r="N818" s="50"/>
      <c r="O818" s="50"/>
      <c r="P818" s="50"/>
      <c r="Q818" s="50"/>
      <c r="R818" s="50"/>
      <c r="S818" s="51"/>
      <c r="T818" s="50"/>
      <c r="U818" s="50"/>
      <c r="V818" s="73"/>
      <c r="W818" s="50"/>
      <c r="X818" s="50"/>
      <c r="AN818" s="50"/>
      <c r="AO818" s="50"/>
      <c r="AP818" s="50"/>
      <c r="AQ818" s="50"/>
      <c r="AR818" s="50"/>
      <c r="AS818" s="51"/>
      <c r="AT818" s="50"/>
      <c r="AU818" s="50"/>
      <c r="AV818" s="73"/>
      <c r="AW818" s="50"/>
      <c r="AX818" s="50"/>
    </row>
    <row r="819" spans="14:50" x14ac:dyDescent="0.3">
      <c r="N819" s="50"/>
      <c r="O819" s="50"/>
      <c r="P819" s="50"/>
      <c r="Q819" s="50"/>
      <c r="R819" s="50"/>
      <c r="S819" s="51"/>
      <c r="T819" s="50"/>
      <c r="U819" s="50"/>
      <c r="V819" s="73"/>
      <c r="W819" s="50"/>
      <c r="X819" s="50"/>
      <c r="AN819" s="50"/>
      <c r="AO819" s="50"/>
      <c r="AP819" s="50"/>
      <c r="AQ819" s="50"/>
      <c r="AR819" s="50"/>
      <c r="AS819" s="51"/>
      <c r="AT819" s="50"/>
      <c r="AU819" s="50"/>
      <c r="AV819" s="73"/>
      <c r="AW819" s="50"/>
      <c r="AX819" s="50"/>
    </row>
    <row r="820" spans="14:50" x14ac:dyDescent="0.3">
      <c r="N820" s="50"/>
      <c r="O820" s="50"/>
      <c r="P820" s="50"/>
      <c r="Q820" s="50"/>
      <c r="R820" s="50"/>
      <c r="S820" s="51"/>
      <c r="T820" s="50"/>
      <c r="U820" s="50"/>
      <c r="V820" s="73"/>
      <c r="W820" s="50"/>
      <c r="X820" s="50"/>
      <c r="AN820" s="50"/>
      <c r="AO820" s="50"/>
      <c r="AP820" s="50"/>
      <c r="AQ820" s="50"/>
      <c r="AR820" s="50"/>
      <c r="AS820" s="51"/>
      <c r="AT820" s="50"/>
      <c r="AU820" s="50"/>
      <c r="AV820" s="73"/>
      <c r="AW820" s="50"/>
      <c r="AX820" s="50"/>
    </row>
    <row r="821" spans="14:50" x14ac:dyDescent="0.3">
      <c r="N821" s="50"/>
      <c r="O821" s="50"/>
      <c r="P821" s="50"/>
      <c r="Q821" s="50"/>
      <c r="R821" s="50"/>
      <c r="S821" s="51"/>
      <c r="T821" s="50"/>
      <c r="U821" s="50"/>
      <c r="V821" s="73"/>
      <c r="W821" s="50"/>
      <c r="X821" s="50"/>
      <c r="AN821" s="50"/>
      <c r="AO821" s="50"/>
      <c r="AP821" s="50"/>
      <c r="AQ821" s="50"/>
      <c r="AR821" s="50"/>
      <c r="AS821" s="51"/>
      <c r="AT821" s="50"/>
      <c r="AU821" s="50"/>
      <c r="AV821" s="73"/>
      <c r="AW821" s="50"/>
      <c r="AX821" s="50"/>
    </row>
    <row r="822" spans="14:50" x14ac:dyDescent="0.3">
      <c r="N822" s="50"/>
      <c r="O822" s="50"/>
      <c r="P822" s="50"/>
      <c r="Q822" s="50"/>
      <c r="R822" s="50"/>
      <c r="S822" s="51"/>
      <c r="T822" s="50"/>
      <c r="U822" s="50"/>
      <c r="V822" s="73"/>
      <c r="W822" s="50"/>
      <c r="X822" s="50"/>
      <c r="AN822" s="50"/>
      <c r="AO822" s="50"/>
      <c r="AP822" s="50"/>
      <c r="AQ822" s="50"/>
      <c r="AR822" s="50"/>
      <c r="AS822" s="51"/>
      <c r="AT822" s="50"/>
      <c r="AU822" s="50"/>
      <c r="AV822" s="73"/>
      <c r="AW822" s="50"/>
      <c r="AX822" s="50"/>
    </row>
    <row r="823" spans="14:50" x14ac:dyDescent="0.3">
      <c r="N823" s="50"/>
      <c r="O823" s="50"/>
      <c r="P823" s="50"/>
      <c r="Q823" s="50"/>
      <c r="R823" s="50"/>
      <c r="S823" s="51"/>
      <c r="T823" s="50"/>
      <c r="U823" s="50"/>
      <c r="V823" s="73"/>
      <c r="W823" s="50"/>
      <c r="X823" s="50"/>
      <c r="AN823" s="50"/>
      <c r="AO823" s="50"/>
      <c r="AP823" s="50"/>
      <c r="AQ823" s="50"/>
      <c r="AR823" s="50"/>
      <c r="AS823" s="51"/>
      <c r="AT823" s="50"/>
      <c r="AU823" s="50"/>
      <c r="AV823" s="73"/>
      <c r="AW823" s="50"/>
      <c r="AX823" s="50"/>
    </row>
    <row r="824" spans="14:50" x14ac:dyDescent="0.3">
      <c r="N824" s="50"/>
      <c r="O824" s="50"/>
      <c r="P824" s="50"/>
      <c r="Q824" s="50"/>
      <c r="R824" s="50"/>
      <c r="S824" s="51"/>
      <c r="T824" s="50"/>
      <c r="U824" s="50"/>
      <c r="V824" s="73"/>
      <c r="W824" s="50"/>
      <c r="X824" s="50"/>
      <c r="AN824" s="50"/>
      <c r="AO824" s="50"/>
      <c r="AP824" s="50"/>
      <c r="AQ824" s="50"/>
      <c r="AR824" s="50"/>
      <c r="AS824" s="51"/>
      <c r="AT824" s="50"/>
      <c r="AU824" s="50"/>
      <c r="AV824" s="73"/>
      <c r="AW824" s="50"/>
      <c r="AX824" s="50"/>
    </row>
    <row r="825" spans="14:50" x14ac:dyDescent="0.3">
      <c r="N825" s="50"/>
      <c r="O825" s="50"/>
      <c r="P825" s="50"/>
      <c r="Q825" s="50"/>
      <c r="R825" s="50"/>
      <c r="S825" s="51"/>
      <c r="T825" s="50"/>
      <c r="U825" s="50"/>
      <c r="V825" s="73"/>
      <c r="W825" s="50"/>
      <c r="X825" s="50"/>
      <c r="AN825" s="50"/>
      <c r="AO825" s="50"/>
      <c r="AP825" s="50"/>
      <c r="AQ825" s="50"/>
      <c r="AR825" s="50"/>
      <c r="AS825" s="51"/>
      <c r="AT825" s="50"/>
      <c r="AU825" s="50"/>
      <c r="AV825" s="73"/>
      <c r="AW825" s="50"/>
      <c r="AX825" s="50"/>
    </row>
    <row r="826" spans="14:50" x14ac:dyDescent="0.3">
      <c r="N826" s="50"/>
      <c r="O826" s="50"/>
      <c r="P826" s="50"/>
      <c r="Q826" s="50"/>
      <c r="R826" s="50"/>
      <c r="S826" s="51"/>
      <c r="T826" s="50"/>
      <c r="U826" s="50"/>
      <c r="V826" s="73"/>
      <c r="W826" s="50"/>
      <c r="X826" s="50"/>
      <c r="AN826" s="50"/>
      <c r="AO826" s="50"/>
      <c r="AP826" s="50"/>
      <c r="AQ826" s="50"/>
      <c r="AR826" s="50"/>
      <c r="AS826" s="51"/>
      <c r="AT826" s="50"/>
      <c r="AU826" s="50"/>
      <c r="AV826" s="73"/>
      <c r="AW826" s="50"/>
      <c r="AX826" s="50"/>
    </row>
    <row r="827" spans="14:50" x14ac:dyDescent="0.3">
      <c r="N827" s="50"/>
      <c r="O827" s="50"/>
      <c r="P827" s="50"/>
      <c r="Q827" s="50"/>
      <c r="R827" s="50"/>
      <c r="S827" s="51"/>
      <c r="T827" s="50"/>
      <c r="U827" s="50"/>
      <c r="V827" s="73"/>
      <c r="W827" s="50"/>
      <c r="X827" s="50"/>
      <c r="AN827" s="50"/>
      <c r="AO827" s="50"/>
      <c r="AP827" s="50"/>
      <c r="AQ827" s="50"/>
      <c r="AR827" s="50"/>
      <c r="AS827" s="51"/>
      <c r="AT827" s="50"/>
      <c r="AU827" s="50"/>
      <c r="AV827" s="73"/>
      <c r="AW827" s="50"/>
      <c r="AX827" s="50"/>
    </row>
    <row r="828" spans="14:50" x14ac:dyDescent="0.3">
      <c r="N828" s="50"/>
      <c r="O828" s="50"/>
      <c r="P828" s="50"/>
      <c r="Q828" s="50"/>
      <c r="R828" s="50"/>
      <c r="S828" s="51"/>
      <c r="T828" s="50"/>
      <c r="U828" s="50"/>
      <c r="V828" s="73"/>
      <c r="W828" s="50"/>
      <c r="X828" s="50"/>
      <c r="AN828" s="50"/>
      <c r="AO828" s="50"/>
      <c r="AP828" s="50"/>
      <c r="AQ828" s="50"/>
      <c r="AR828" s="50"/>
      <c r="AS828" s="51"/>
      <c r="AT828" s="50"/>
      <c r="AU828" s="50"/>
      <c r="AV828" s="73"/>
      <c r="AW828" s="50"/>
      <c r="AX828" s="50"/>
    </row>
    <row r="829" spans="14:50" x14ac:dyDescent="0.3">
      <c r="N829" s="50"/>
      <c r="O829" s="50"/>
      <c r="P829" s="50"/>
      <c r="Q829" s="50"/>
      <c r="R829" s="50"/>
      <c r="S829" s="51"/>
      <c r="T829" s="50"/>
      <c r="U829" s="50"/>
      <c r="V829" s="73"/>
      <c r="W829" s="50"/>
      <c r="X829" s="50"/>
      <c r="AN829" s="50"/>
      <c r="AO829" s="50"/>
      <c r="AP829" s="50"/>
      <c r="AQ829" s="50"/>
      <c r="AR829" s="50"/>
      <c r="AS829" s="51"/>
      <c r="AT829" s="50"/>
      <c r="AU829" s="50"/>
      <c r="AV829" s="73"/>
      <c r="AW829" s="50"/>
      <c r="AX829" s="50"/>
    </row>
    <row r="830" spans="14:50" x14ac:dyDescent="0.3">
      <c r="N830" s="50"/>
      <c r="O830" s="50"/>
      <c r="P830" s="50"/>
      <c r="Q830" s="50"/>
      <c r="R830" s="50"/>
      <c r="S830" s="51"/>
      <c r="T830" s="50"/>
      <c r="U830" s="50"/>
      <c r="V830" s="73"/>
      <c r="W830" s="50"/>
      <c r="X830" s="50"/>
      <c r="AN830" s="50"/>
      <c r="AO830" s="50"/>
      <c r="AP830" s="50"/>
      <c r="AQ830" s="50"/>
      <c r="AR830" s="50"/>
      <c r="AS830" s="51"/>
      <c r="AT830" s="50"/>
      <c r="AU830" s="50"/>
      <c r="AV830" s="73"/>
      <c r="AW830" s="50"/>
      <c r="AX830" s="50"/>
    </row>
    <row r="831" spans="14:50" x14ac:dyDescent="0.3">
      <c r="N831" s="50"/>
      <c r="O831" s="50"/>
      <c r="P831" s="50"/>
      <c r="Q831" s="50"/>
      <c r="R831" s="50"/>
      <c r="S831" s="51"/>
      <c r="T831" s="50"/>
      <c r="U831" s="50"/>
      <c r="V831" s="73"/>
      <c r="W831" s="50"/>
      <c r="X831" s="50"/>
      <c r="AN831" s="50"/>
      <c r="AO831" s="50"/>
      <c r="AP831" s="50"/>
      <c r="AQ831" s="50"/>
      <c r="AR831" s="50"/>
      <c r="AS831" s="51"/>
      <c r="AT831" s="50"/>
      <c r="AU831" s="50"/>
      <c r="AV831" s="73"/>
      <c r="AW831" s="50"/>
      <c r="AX831" s="50"/>
    </row>
    <row r="832" spans="14:50" x14ac:dyDescent="0.3">
      <c r="N832" s="50"/>
      <c r="O832" s="50"/>
      <c r="P832" s="50"/>
      <c r="Q832" s="50"/>
      <c r="R832" s="50"/>
      <c r="S832" s="51"/>
      <c r="T832" s="50"/>
      <c r="U832" s="50"/>
      <c r="V832" s="73"/>
      <c r="W832" s="50"/>
      <c r="X832" s="50"/>
      <c r="AN832" s="50"/>
      <c r="AO832" s="50"/>
      <c r="AP832" s="50"/>
      <c r="AQ832" s="50"/>
      <c r="AR832" s="50"/>
      <c r="AS832" s="51"/>
      <c r="AT832" s="50"/>
      <c r="AU832" s="50"/>
      <c r="AV832" s="73"/>
      <c r="AW832" s="50"/>
      <c r="AX832" s="50"/>
    </row>
    <row r="833" spans="14:50" x14ac:dyDescent="0.3">
      <c r="N833" s="50"/>
      <c r="O833" s="50"/>
      <c r="P833" s="50"/>
      <c r="Q833" s="50"/>
      <c r="R833" s="50"/>
      <c r="S833" s="51"/>
      <c r="T833" s="50"/>
      <c r="U833" s="50"/>
      <c r="V833" s="73"/>
      <c r="W833" s="50"/>
      <c r="X833" s="50"/>
      <c r="AN833" s="50"/>
      <c r="AO833" s="50"/>
      <c r="AP833" s="50"/>
      <c r="AQ833" s="50"/>
      <c r="AR833" s="50"/>
      <c r="AS833" s="51"/>
      <c r="AT833" s="50"/>
      <c r="AU833" s="50"/>
      <c r="AV833" s="73"/>
      <c r="AW833" s="50"/>
      <c r="AX833" s="50"/>
    </row>
    <row r="834" spans="14:50" x14ac:dyDescent="0.3">
      <c r="N834" s="50"/>
      <c r="O834" s="50"/>
      <c r="P834" s="50"/>
      <c r="Q834" s="50"/>
      <c r="R834" s="50"/>
      <c r="S834" s="51"/>
      <c r="T834" s="50"/>
      <c r="U834" s="50"/>
      <c r="V834" s="73"/>
      <c r="W834" s="50"/>
      <c r="X834" s="50"/>
      <c r="AN834" s="50"/>
      <c r="AO834" s="50"/>
      <c r="AP834" s="50"/>
      <c r="AQ834" s="50"/>
      <c r="AR834" s="50"/>
      <c r="AS834" s="51"/>
      <c r="AT834" s="50"/>
      <c r="AU834" s="50"/>
      <c r="AV834" s="73"/>
      <c r="AW834" s="50"/>
      <c r="AX834" s="50"/>
    </row>
    <row r="835" spans="14:50" x14ac:dyDescent="0.3">
      <c r="N835" s="50"/>
      <c r="O835" s="50"/>
      <c r="P835" s="50"/>
      <c r="Q835" s="50"/>
      <c r="R835" s="50"/>
      <c r="S835" s="51"/>
      <c r="T835" s="50"/>
      <c r="U835" s="50"/>
      <c r="V835" s="73"/>
      <c r="W835" s="50"/>
      <c r="X835" s="50"/>
      <c r="AN835" s="50"/>
      <c r="AO835" s="50"/>
      <c r="AP835" s="50"/>
      <c r="AQ835" s="50"/>
      <c r="AR835" s="50"/>
      <c r="AS835" s="51"/>
      <c r="AT835" s="50"/>
      <c r="AU835" s="50"/>
      <c r="AV835" s="73"/>
      <c r="AW835" s="50"/>
      <c r="AX835" s="50"/>
    </row>
    <row r="836" spans="14:50" x14ac:dyDescent="0.3">
      <c r="N836" s="50"/>
      <c r="O836" s="50"/>
      <c r="P836" s="50"/>
      <c r="Q836" s="50"/>
      <c r="R836" s="50"/>
      <c r="S836" s="51"/>
      <c r="T836" s="50"/>
      <c r="U836" s="50"/>
      <c r="V836" s="73"/>
      <c r="W836" s="50"/>
      <c r="X836" s="50"/>
      <c r="AN836" s="50"/>
      <c r="AO836" s="50"/>
      <c r="AP836" s="50"/>
      <c r="AQ836" s="50"/>
      <c r="AR836" s="50"/>
      <c r="AS836" s="51"/>
      <c r="AT836" s="50"/>
      <c r="AU836" s="50"/>
      <c r="AV836" s="73"/>
      <c r="AW836" s="50"/>
      <c r="AX836" s="50"/>
    </row>
    <row r="837" spans="14:50" x14ac:dyDescent="0.3">
      <c r="N837" s="50"/>
      <c r="O837" s="50"/>
      <c r="P837" s="50"/>
      <c r="Q837" s="50"/>
      <c r="R837" s="50"/>
      <c r="S837" s="51"/>
      <c r="T837" s="50"/>
      <c r="U837" s="50"/>
      <c r="V837" s="73"/>
      <c r="W837" s="50"/>
      <c r="X837" s="50"/>
      <c r="AN837" s="50"/>
      <c r="AO837" s="50"/>
      <c r="AP837" s="50"/>
      <c r="AQ837" s="50"/>
      <c r="AR837" s="50"/>
      <c r="AS837" s="51"/>
      <c r="AT837" s="50"/>
      <c r="AU837" s="50"/>
      <c r="AV837" s="73"/>
      <c r="AW837" s="50"/>
      <c r="AX837" s="50"/>
    </row>
    <row r="838" spans="14:50" x14ac:dyDescent="0.3">
      <c r="N838" s="50"/>
      <c r="O838" s="50"/>
      <c r="P838" s="50"/>
      <c r="Q838" s="50"/>
      <c r="R838" s="50"/>
      <c r="S838" s="51"/>
      <c r="T838" s="50"/>
      <c r="U838" s="50"/>
      <c r="V838" s="73"/>
      <c r="W838" s="50"/>
      <c r="X838" s="50"/>
      <c r="AN838" s="50"/>
      <c r="AO838" s="50"/>
      <c r="AP838" s="50"/>
      <c r="AQ838" s="50"/>
      <c r="AR838" s="50"/>
      <c r="AS838" s="51"/>
      <c r="AT838" s="50"/>
      <c r="AU838" s="50"/>
      <c r="AV838" s="73"/>
      <c r="AW838" s="50"/>
      <c r="AX838" s="50"/>
    </row>
    <row r="839" spans="14:50" x14ac:dyDescent="0.3">
      <c r="N839" s="50"/>
      <c r="O839" s="50"/>
      <c r="P839" s="50"/>
      <c r="Q839" s="50"/>
      <c r="R839" s="50"/>
      <c r="S839" s="51"/>
      <c r="T839" s="50"/>
      <c r="U839" s="50"/>
      <c r="V839" s="73"/>
      <c r="W839" s="50"/>
      <c r="X839" s="50"/>
      <c r="AN839" s="50"/>
      <c r="AO839" s="50"/>
      <c r="AP839" s="50"/>
      <c r="AQ839" s="50"/>
      <c r="AR839" s="50"/>
      <c r="AS839" s="51"/>
      <c r="AT839" s="50"/>
      <c r="AU839" s="50"/>
      <c r="AV839" s="73"/>
      <c r="AW839" s="50"/>
      <c r="AX839" s="50"/>
    </row>
    <row r="840" spans="14:50" x14ac:dyDescent="0.3">
      <c r="N840" s="50"/>
      <c r="O840" s="50"/>
      <c r="P840" s="50"/>
      <c r="Q840" s="50"/>
      <c r="R840" s="50"/>
      <c r="S840" s="51"/>
      <c r="T840" s="50"/>
      <c r="U840" s="50"/>
      <c r="V840" s="73"/>
      <c r="W840" s="50"/>
      <c r="X840" s="50"/>
      <c r="AN840" s="50"/>
      <c r="AO840" s="50"/>
      <c r="AP840" s="50"/>
      <c r="AQ840" s="50"/>
      <c r="AR840" s="50"/>
      <c r="AS840" s="51"/>
      <c r="AT840" s="50"/>
      <c r="AU840" s="50"/>
      <c r="AV840" s="73"/>
      <c r="AW840" s="50"/>
      <c r="AX840" s="50"/>
    </row>
    <row r="841" spans="14:50" x14ac:dyDescent="0.3">
      <c r="N841" s="50"/>
      <c r="O841" s="50"/>
      <c r="P841" s="50"/>
      <c r="Q841" s="50"/>
      <c r="R841" s="50"/>
      <c r="S841" s="51"/>
      <c r="T841" s="50"/>
      <c r="U841" s="50"/>
      <c r="V841" s="73"/>
      <c r="W841" s="50"/>
      <c r="X841" s="50"/>
      <c r="AN841" s="50"/>
      <c r="AO841" s="50"/>
      <c r="AP841" s="50"/>
      <c r="AQ841" s="50"/>
      <c r="AR841" s="50"/>
      <c r="AS841" s="51"/>
      <c r="AT841" s="50"/>
      <c r="AU841" s="50"/>
      <c r="AV841" s="73"/>
      <c r="AW841" s="50"/>
      <c r="AX841" s="50"/>
    </row>
    <row r="842" spans="14:50" x14ac:dyDescent="0.3">
      <c r="N842" s="50"/>
      <c r="O842" s="50"/>
      <c r="P842" s="50"/>
      <c r="Q842" s="50"/>
      <c r="R842" s="50"/>
      <c r="S842" s="51"/>
      <c r="T842" s="50"/>
      <c r="U842" s="50"/>
      <c r="V842" s="73"/>
      <c r="W842" s="50"/>
      <c r="X842" s="50"/>
      <c r="AN842" s="50"/>
      <c r="AO842" s="50"/>
      <c r="AP842" s="50"/>
      <c r="AQ842" s="50"/>
      <c r="AR842" s="50"/>
      <c r="AS842" s="51"/>
      <c r="AT842" s="50"/>
      <c r="AU842" s="50"/>
      <c r="AV842" s="73"/>
      <c r="AW842" s="50"/>
      <c r="AX842" s="50"/>
    </row>
    <row r="843" spans="14:50" x14ac:dyDescent="0.3">
      <c r="N843" s="50"/>
      <c r="O843" s="50"/>
      <c r="P843" s="50"/>
      <c r="Q843" s="50"/>
      <c r="R843" s="50"/>
      <c r="S843" s="51"/>
      <c r="T843" s="50"/>
      <c r="U843" s="50"/>
      <c r="V843" s="73"/>
      <c r="W843" s="50"/>
      <c r="X843" s="50"/>
      <c r="AN843" s="50"/>
      <c r="AO843" s="50"/>
      <c r="AP843" s="50"/>
      <c r="AQ843" s="50"/>
      <c r="AR843" s="50"/>
      <c r="AS843" s="51"/>
      <c r="AT843" s="50"/>
      <c r="AU843" s="50"/>
      <c r="AV843" s="73"/>
      <c r="AW843" s="50"/>
      <c r="AX843" s="50"/>
    </row>
    <row r="844" spans="14:50" x14ac:dyDescent="0.3">
      <c r="N844" s="50"/>
      <c r="O844" s="50"/>
      <c r="P844" s="50"/>
      <c r="Q844" s="50"/>
      <c r="R844" s="50"/>
      <c r="S844" s="51"/>
      <c r="T844" s="50"/>
      <c r="U844" s="50"/>
      <c r="V844" s="73"/>
      <c r="W844" s="50"/>
      <c r="X844" s="50"/>
      <c r="AN844" s="50"/>
      <c r="AO844" s="50"/>
      <c r="AP844" s="50"/>
      <c r="AQ844" s="50"/>
      <c r="AR844" s="50"/>
      <c r="AS844" s="51"/>
      <c r="AT844" s="50"/>
      <c r="AU844" s="50"/>
      <c r="AV844" s="73"/>
      <c r="AW844" s="50"/>
      <c r="AX844" s="50"/>
    </row>
    <row r="845" spans="14:50" x14ac:dyDescent="0.3">
      <c r="N845" s="50"/>
      <c r="O845" s="50"/>
      <c r="P845" s="50"/>
      <c r="Q845" s="50"/>
      <c r="R845" s="50"/>
      <c r="S845" s="51"/>
      <c r="T845" s="50"/>
      <c r="U845" s="50"/>
      <c r="V845" s="73"/>
      <c r="W845" s="50"/>
      <c r="X845" s="50"/>
      <c r="AN845" s="50"/>
      <c r="AO845" s="50"/>
      <c r="AP845" s="50"/>
      <c r="AQ845" s="50"/>
      <c r="AR845" s="50"/>
      <c r="AS845" s="51"/>
      <c r="AT845" s="50"/>
      <c r="AU845" s="50"/>
      <c r="AV845" s="73"/>
      <c r="AW845" s="50"/>
      <c r="AX845" s="50"/>
    </row>
    <row r="846" spans="14:50" x14ac:dyDescent="0.3">
      <c r="N846" s="50"/>
      <c r="O846" s="50"/>
      <c r="P846" s="50"/>
      <c r="Q846" s="50"/>
      <c r="R846" s="50"/>
      <c r="S846" s="51"/>
      <c r="T846" s="50"/>
      <c r="U846" s="50"/>
      <c r="V846" s="73"/>
      <c r="W846" s="50"/>
      <c r="X846" s="50"/>
      <c r="AN846" s="50"/>
      <c r="AO846" s="50"/>
      <c r="AP846" s="50"/>
      <c r="AQ846" s="50"/>
      <c r="AR846" s="50"/>
      <c r="AS846" s="51"/>
      <c r="AT846" s="50"/>
      <c r="AU846" s="50"/>
      <c r="AV846" s="73"/>
      <c r="AW846" s="50"/>
      <c r="AX846" s="50"/>
    </row>
    <row r="847" spans="14:50" x14ac:dyDescent="0.3">
      <c r="N847" s="50"/>
      <c r="O847" s="50"/>
      <c r="P847" s="50"/>
      <c r="Q847" s="50"/>
      <c r="R847" s="50"/>
      <c r="S847" s="51"/>
      <c r="T847" s="50"/>
      <c r="U847" s="50"/>
      <c r="V847" s="73"/>
      <c r="W847" s="50"/>
      <c r="X847" s="50"/>
      <c r="AN847" s="50"/>
      <c r="AO847" s="50"/>
      <c r="AP847" s="50"/>
      <c r="AQ847" s="50"/>
      <c r="AR847" s="50"/>
      <c r="AS847" s="51"/>
      <c r="AT847" s="50"/>
      <c r="AU847" s="50"/>
      <c r="AV847" s="73"/>
      <c r="AW847" s="50"/>
      <c r="AX847" s="50"/>
    </row>
    <row r="848" spans="14:50" x14ac:dyDescent="0.3">
      <c r="N848" s="50"/>
      <c r="O848" s="50"/>
      <c r="P848" s="50"/>
      <c r="Q848" s="50"/>
      <c r="R848" s="50"/>
      <c r="S848" s="51"/>
      <c r="T848" s="50"/>
      <c r="U848" s="50"/>
      <c r="V848" s="73"/>
      <c r="W848" s="50"/>
      <c r="X848" s="50"/>
      <c r="AN848" s="50"/>
      <c r="AO848" s="50"/>
      <c r="AP848" s="50"/>
      <c r="AQ848" s="50"/>
      <c r="AR848" s="50"/>
      <c r="AS848" s="51"/>
      <c r="AT848" s="50"/>
      <c r="AU848" s="50"/>
      <c r="AV848" s="73"/>
      <c r="AW848" s="50"/>
      <c r="AX848" s="50"/>
    </row>
    <row r="849" spans="14:50" x14ac:dyDescent="0.3">
      <c r="N849" s="50"/>
      <c r="O849" s="50"/>
      <c r="P849" s="50"/>
      <c r="Q849" s="50"/>
      <c r="R849" s="50"/>
      <c r="S849" s="51"/>
      <c r="T849" s="50"/>
      <c r="U849" s="50"/>
      <c r="V849" s="73"/>
      <c r="W849" s="50"/>
      <c r="X849" s="50"/>
      <c r="AN849" s="50"/>
      <c r="AO849" s="50"/>
      <c r="AP849" s="50"/>
      <c r="AQ849" s="50"/>
      <c r="AR849" s="50"/>
      <c r="AS849" s="51"/>
      <c r="AT849" s="50"/>
      <c r="AU849" s="50"/>
      <c r="AV849" s="73"/>
      <c r="AW849" s="50"/>
      <c r="AX849" s="50"/>
    </row>
    <row r="850" spans="14:50" x14ac:dyDescent="0.3">
      <c r="N850" s="50"/>
      <c r="O850" s="50"/>
      <c r="P850" s="50"/>
      <c r="Q850" s="50"/>
      <c r="R850" s="50"/>
      <c r="S850" s="51"/>
      <c r="T850" s="50"/>
      <c r="U850" s="50"/>
      <c r="V850" s="73"/>
      <c r="W850" s="50"/>
      <c r="X850" s="50"/>
      <c r="AN850" s="50"/>
      <c r="AO850" s="50"/>
      <c r="AP850" s="50"/>
      <c r="AQ850" s="50"/>
      <c r="AR850" s="50"/>
      <c r="AS850" s="51"/>
      <c r="AT850" s="50"/>
      <c r="AU850" s="50"/>
      <c r="AV850" s="73"/>
      <c r="AW850" s="50"/>
      <c r="AX850" s="50"/>
    </row>
    <row r="851" spans="14:50" x14ac:dyDescent="0.3">
      <c r="N851" s="50"/>
      <c r="O851" s="50"/>
      <c r="P851" s="50"/>
      <c r="Q851" s="50"/>
      <c r="R851" s="50"/>
      <c r="S851" s="51"/>
      <c r="T851" s="50"/>
      <c r="U851" s="50"/>
      <c r="V851" s="73"/>
      <c r="W851" s="50"/>
      <c r="X851" s="50"/>
      <c r="AN851" s="50"/>
      <c r="AO851" s="50"/>
      <c r="AP851" s="50"/>
      <c r="AQ851" s="50"/>
      <c r="AR851" s="50"/>
      <c r="AS851" s="51"/>
      <c r="AT851" s="50"/>
      <c r="AU851" s="50"/>
      <c r="AV851" s="73"/>
      <c r="AW851" s="50"/>
      <c r="AX851" s="50"/>
    </row>
    <row r="852" spans="14:50" x14ac:dyDescent="0.3">
      <c r="N852" s="50"/>
      <c r="O852" s="50"/>
      <c r="P852" s="50"/>
      <c r="Q852" s="50"/>
      <c r="R852" s="50"/>
      <c r="S852" s="51"/>
      <c r="T852" s="50"/>
      <c r="U852" s="50"/>
      <c r="V852" s="73"/>
      <c r="W852" s="50"/>
      <c r="X852" s="50"/>
      <c r="AN852" s="50"/>
      <c r="AO852" s="50"/>
      <c r="AP852" s="50"/>
      <c r="AQ852" s="50"/>
      <c r="AR852" s="50"/>
      <c r="AS852" s="51"/>
      <c r="AT852" s="50"/>
      <c r="AU852" s="50"/>
      <c r="AV852" s="73"/>
      <c r="AW852" s="50"/>
      <c r="AX852" s="50"/>
    </row>
    <row r="853" spans="14:50" x14ac:dyDescent="0.3">
      <c r="N853" s="50"/>
      <c r="O853" s="50"/>
      <c r="P853" s="50"/>
      <c r="Q853" s="50"/>
      <c r="R853" s="50"/>
      <c r="S853" s="51"/>
      <c r="T853" s="50"/>
      <c r="U853" s="50"/>
      <c r="V853" s="73"/>
      <c r="W853" s="50"/>
      <c r="X853" s="50"/>
      <c r="AN853" s="50"/>
      <c r="AO853" s="50"/>
      <c r="AP853" s="50"/>
      <c r="AQ853" s="50"/>
      <c r="AR853" s="50"/>
      <c r="AS853" s="51"/>
      <c r="AT853" s="50"/>
      <c r="AU853" s="50"/>
      <c r="AV853" s="73"/>
      <c r="AW853" s="50"/>
      <c r="AX853" s="50"/>
    </row>
    <row r="854" spans="14:50" x14ac:dyDescent="0.3">
      <c r="N854" s="50"/>
      <c r="O854" s="50"/>
      <c r="P854" s="50"/>
      <c r="Q854" s="50"/>
      <c r="R854" s="50"/>
      <c r="S854" s="51"/>
      <c r="T854" s="50"/>
      <c r="U854" s="50"/>
      <c r="V854" s="73"/>
      <c r="W854" s="50"/>
      <c r="X854" s="50"/>
      <c r="AN854" s="50"/>
      <c r="AO854" s="50"/>
      <c r="AP854" s="50"/>
      <c r="AQ854" s="50"/>
      <c r="AR854" s="50"/>
      <c r="AS854" s="51"/>
      <c r="AT854" s="50"/>
      <c r="AU854" s="50"/>
      <c r="AV854" s="73"/>
      <c r="AW854" s="50"/>
      <c r="AX854" s="50"/>
    </row>
    <row r="855" spans="14:50" x14ac:dyDescent="0.3">
      <c r="N855" s="50"/>
      <c r="O855" s="50"/>
      <c r="P855" s="50"/>
      <c r="Q855" s="50"/>
      <c r="R855" s="50"/>
      <c r="S855" s="51"/>
      <c r="T855" s="50"/>
      <c r="U855" s="50"/>
      <c r="V855" s="73"/>
      <c r="W855" s="50"/>
      <c r="X855" s="50"/>
      <c r="AN855" s="50"/>
      <c r="AO855" s="50"/>
      <c r="AP855" s="50"/>
      <c r="AQ855" s="50"/>
      <c r="AR855" s="50"/>
      <c r="AS855" s="51"/>
      <c r="AT855" s="50"/>
      <c r="AU855" s="50"/>
      <c r="AV855" s="73"/>
      <c r="AW855" s="50"/>
      <c r="AX855" s="50"/>
    </row>
    <row r="856" spans="14:50" x14ac:dyDescent="0.3">
      <c r="N856" s="50"/>
      <c r="O856" s="50"/>
      <c r="P856" s="50"/>
      <c r="Q856" s="50"/>
      <c r="R856" s="50"/>
      <c r="S856" s="51"/>
      <c r="T856" s="50"/>
      <c r="U856" s="50"/>
      <c r="V856" s="73"/>
      <c r="W856" s="50"/>
      <c r="X856" s="50"/>
      <c r="AN856" s="50"/>
      <c r="AO856" s="50"/>
      <c r="AP856" s="50"/>
      <c r="AQ856" s="50"/>
      <c r="AR856" s="50"/>
      <c r="AS856" s="51"/>
      <c r="AT856" s="50"/>
      <c r="AU856" s="50"/>
      <c r="AV856" s="73"/>
      <c r="AW856" s="50"/>
      <c r="AX856" s="50"/>
    </row>
    <row r="857" spans="14:50" x14ac:dyDescent="0.3">
      <c r="N857" s="50"/>
      <c r="O857" s="50"/>
      <c r="P857" s="50"/>
      <c r="Q857" s="50"/>
      <c r="R857" s="50"/>
      <c r="S857" s="51"/>
      <c r="T857" s="50"/>
      <c r="U857" s="50"/>
      <c r="V857" s="73"/>
      <c r="W857" s="50"/>
      <c r="X857" s="50"/>
      <c r="AN857" s="50"/>
      <c r="AO857" s="50"/>
      <c r="AP857" s="50"/>
      <c r="AQ857" s="50"/>
      <c r="AR857" s="50"/>
      <c r="AS857" s="51"/>
      <c r="AT857" s="50"/>
      <c r="AU857" s="50"/>
      <c r="AV857" s="73"/>
      <c r="AW857" s="50"/>
      <c r="AX857" s="50"/>
    </row>
    <row r="858" spans="14:50" x14ac:dyDescent="0.3">
      <c r="N858" s="50"/>
      <c r="O858" s="50"/>
      <c r="P858" s="50"/>
      <c r="Q858" s="50"/>
      <c r="R858" s="50"/>
      <c r="S858" s="51"/>
      <c r="T858" s="50"/>
      <c r="U858" s="50"/>
      <c r="V858" s="73"/>
      <c r="W858" s="50"/>
      <c r="X858" s="50"/>
      <c r="AN858" s="50"/>
      <c r="AO858" s="50"/>
      <c r="AP858" s="50"/>
      <c r="AQ858" s="50"/>
      <c r="AR858" s="50"/>
      <c r="AS858" s="51"/>
      <c r="AT858" s="50"/>
      <c r="AU858" s="50"/>
      <c r="AV858" s="73"/>
      <c r="AW858" s="50"/>
      <c r="AX858" s="50"/>
    </row>
    <row r="859" spans="14:50" x14ac:dyDescent="0.3">
      <c r="N859" s="50"/>
      <c r="O859" s="50"/>
      <c r="P859" s="50"/>
      <c r="Q859" s="50"/>
      <c r="R859" s="50"/>
      <c r="S859" s="51"/>
      <c r="T859" s="50"/>
      <c r="U859" s="50"/>
      <c r="V859" s="73"/>
      <c r="W859" s="50"/>
      <c r="X859" s="50"/>
      <c r="AN859" s="50"/>
      <c r="AO859" s="50"/>
      <c r="AP859" s="50"/>
      <c r="AQ859" s="50"/>
      <c r="AR859" s="50"/>
      <c r="AS859" s="51"/>
      <c r="AT859" s="50"/>
      <c r="AU859" s="50"/>
      <c r="AV859" s="73"/>
      <c r="AW859" s="50"/>
      <c r="AX859" s="50"/>
    </row>
    <row r="860" spans="14:50" x14ac:dyDescent="0.3">
      <c r="N860" s="50"/>
      <c r="O860" s="50"/>
      <c r="P860" s="50"/>
      <c r="Q860" s="50"/>
      <c r="R860" s="50"/>
      <c r="S860" s="51"/>
      <c r="T860" s="50"/>
      <c r="U860" s="50"/>
      <c r="V860" s="73"/>
      <c r="W860" s="50"/>
      <c r="X860" s="50"/>
      <c r="AN860" s="50"/>
      <c r="AO860" s="50"/>
      <c r="AP860" s="50"/>
      <c r="AQ860" s="50"/>
      <c r="AR860" s="50"/>
      <c r="AS860" s="51"/>
      <c r="AT860" s="50"/>
      <c r="AU860" s="50"/>
      <c r="AV860" s="73"/>
      <c r="AW860" s="50"/>
      <c r="AX860" s="50"/>
    </row>
    <row r="861" spans="14:50" x14ac:dyDescent="0.3">
      <c r="N861" s="50"/>
      <c r="O861" s="50"/>
      <c r="P861" s="50"/>
      <c r="Q861" s="50"/>
      <c r="R861" s="50"/>
      <c r="S861" s="51"/>
      <c r="T861" s="50"/>
      <c r="U861" s="50"/>
      <c r="V861" s="73"/>
      <c r="W861" s="50"/>
      <c r="X861" s="50"/>
      <c r="AN861" s="50"/>
      <c r="AO861" s="50"/>
      <c r="AP861" s="50"/>
      <c r="AQ861" s="50"/>
      <c r="AR861" s="50"/>
      <c r="AS861" s="51"/>
      <c r="AT861" s="50"/>
      <c r="AU861" s="50"/>
      <c r="AV861" s="73"/>
      <c r="AW861" s="50"/>
      <c r="AX861" s="50"/>
    </row>
    <row r="862" spans="14:50" x14ac:dyDescent="0.3">
      <c r="N862" s="50"/>
      <c r="O862" s="50"/>
      <c r="P862" s="50"/>
      <c r="Q862" s="50"/>
      <c r="R862" s="50"/>
      <c r="S862" s="51"/>
      <c r="T862" s="50"/>
      <c r="U862" s="50"/>
      <c r="V862" s="73"/>
      <c r="W862" s="50"/>
      <c r="X862" s="50"/>
      <c r="AN862" s="50"/>
      <c r="AO862" s="50"/>
      <c r="AP862" s="50"/>
      <c r="AQ862" s="50"/>
      <c r="AR862" s="50"/>
      <c r="AS862" s="51"/>
      <c r="AT862" s="50"/>
      <c r="AU862" s="50"/>
      <c r="AV862" s="73"/>
      <c r="AW862" s="50"/>
      <c r="AX862" s="50"/>
    </row>
    <row r="863" spans="14:50" x14ac:dyDescent="0.3">
      <c r="N863" s="50"/>
      <c r="O863" s="50"/>
      <c r="P863" s="50"/>
      <c r="Q863" s="50"/>
      <c r="R863" s="50"/>
      <c r="S863" s="51"/>
      <c r="T863" s="50"/>
      <c r="U863" s="50"/>
      <c r="V863" s="73"/>
      <c r="W863" s="50"/>
      <c r="X863" s="50"/>
      <c r="AN863" s="50"/>
      <c r="AO863" s="50"/>
      <c r="AP863" s="50"/>
      <c r="AQ863" s="50"/>
      <c r="AR863" s="50"/>
      <c r="AS863" s="51"/>
      <c r="AT863" s="50"/>
      <c r="AU863" s="50"/>
      <c r="AV863" s="73"/>
      <c r="AW863" s="50"/>
      <c r="AX863" s="50"/>
    </row>
    <row r="864" spans="14:50" x14ac:dyDescent="0.3">
      <c r="N864" s="50"/>
      <c r="O864" s="50"/>
      <c r="P864" s="50"/>
      <c r="Q864" s="50"/>
      <c r="R864" s="50"/>
      <c r="S864" s="51"/>
      <c r="T864" s="50"/>
      <c r="U864" s="50"/>
      <c r="V864" s="73"/>
      <c r="W864" s="50"/>
      <c r="X864" s="50"/>
      <c r="AN864" s="50"/>
      <c r="AO864" s="50"/>
      <c r="AP864" s="50"/>
      <c r="AQ864" s="50"/>
      <c r="AR864" s="50"/>
      <c r="AS864" s="51"/>
      <c r="AT864" s="50"/>
      <c r="AU864" s="50"/>
      <c r="AV864" s="73"/>
      <c r="AW864" s="50"/>
      <c r="AX864" s="50"/>
    </row>
    <row r="865" spans="14:50" x14ac:dyDescent="0.3">
      <c r="N865" s="50"/>
      <c r="O865" s="50"/>
      <c r="P865" s="50"/>
      <c r="Q865" s="50"/>
      <c r="R865" s="50"/>
      <c r="S865" s="51"/>
      <c r="T865" s="50"/>
      <c r="U865" s="50"/>
      <c r="V865" s="73"/>
      <c r="W865" s="50"/>
      <c r="X865" s="50"/>
      <c r="AN865" s="50"/>
      <c r="AO865" s="50"/>
      <c r="AP865" s="50"/>
      <c r="AQ865" s="50"/>
      <c r="AR865" s="50"/>
      <c r="AS865" s="51"/>
      <c r="AT865" s="50"/>
      <c r="AU865" s="50"/>
      <c r="AV865" s="73"/>
      <c r="AW865" s="50"/>
      <c r="AX865" s="50"/>
    </row>
    <row r="866" spans="14:50" x14ac:dyDescent="0.3">
      <c r="N866" s="50"/>
      <c r="O866" s="50"/>
      <c r="P866" s="50"/>
      <c r="Q866" s="50"/>
      <c r="R866" s="50"/>
      <c r="S866" s="51"/>
      <c r="T866" s="50"/>
      <c r="U866" s="50"/>
      <c r="V866" s="73"/>
      <c r="W866" s="50"/>
      <c r="X866" s="50"/>
      <c r="AN866" s="50"/>
      <c r="AO866" s="50"/>
      <c r="AP866" s="50"/>
      <c r="AQ866" s="50"/>
      <c r="AR866" s="50"/>
      <c r="AS866" s="51"/>
      <c r="AT866" s="50"/>
      <c r="AU866" s="50"/>
      <c r="AV866" s="73"/>
      <c r="AW866" s="50"/>
      <c r="AX866" s="50"/>
    </row>
    <row r="867" spans="14:50" x14ac:dyDescent="0.3">
      <c r="N867" s="50"/>
      <c r="O867" s="50"/>
      <c r="P867" s="50"/>
      <c r="Q867" s="50"/>
      <c r="R867" s="50"/>
      <c r="S867" s="51"/>
      <c r="T867" s="50"/>
      <c r="U867" s="50"/>
      <c r="V867" s="73"/>
      <c r="W867" s="50"/>
      <c r="X867" s="50"/>
      <c r="AN867" s="50"/>
      <c r="AO867" s="50"/>
      <c r="AP867" s="50"/>
      <c r="AQ867" s="50"/>
      <c r="AR867" s="50"/>
      <c r="AS867" s="51"/>
      <c r="AT867" s="50"/>
      <c r="AU867" s="50"/>
      <c r="AV867" s="73"/>
      <c r="AW867" s="50"/>
      <c r="AX867" s="50"/>
    </row>
    <row r="868" spans="14:50" x14ac:dyDescent="0.3">
      <c r="N868" s="50"/>
      <c r="O868" s="50"/>
      <c r="P868" s="50"/>
      <c r="Q868" s="50"/>
      <c r="R868" s="50"/>
      <c r="S868" s="51"/>
      <c r="T868" s="50"/>
      <c r="U868" s="50"/>
      <c r="V868" s="73"/>
      <c r="W868" s="50"/>
      <c r="X868" s="50"/>
      <c r="AN868" s="50"/>
      <c r="AO868" s="50"/>
      <c r="AP868" s="50"/>
      <c r="AQ868" s="50"/>
      <c r="AR868" s="50"/>
      <c r="AS868" s="51"/>
      <c r="AT868" s="50"/>
      <c r="AU868" s="50"/>
      <c r="AV868" s="73"/>
      <c r="AW868" s="50"/>
      <c r="AX868" s="50"/>
    </row>
    <row r="869" spans="14:50" x14ac:dyDescent="0.3">
      <c r="N869" s="50"/>
      <c r="O869" s="50"/>
      <c r="P869" s="50"/>
      <c r="Q869" s="50"/>
      <c r="R869" s="50"/>
      <c r="S869" s="51"/>
      <c r="T869" s="50"/>
      <c r="U869" s="50"/>
      <c r="V869" s="73"/>
      <c r="W869" s="50"/>
      <c r="X869" s="50"/>
      <c r="AN869" s="50"/>
      <c r="AO869" s="50"/>
      <c r="AP869" s="50"/>
      <c r="AQ869" s="50"/>
      <c r="AR869" s="50"/>
      <c r="AS869" s="51"/>
      <c r="AT869" s="50"/>
      <c r="AU869" s="50"/>
      <c r="AV869" s="73"/>
      <c r="AW869" s="50"/>
      <c r="AX869" s="50"/>
    </row>
    <row r="870" spans="14:50" x14ac:dyDescent="0.3">
      <c r="N870" s="50"/>
      <c r="O870" s="50"/>
      <c r="P870" s="50"/>
      <c r="Q870" s="50"/>
      <c r="R870" s="50"/>
      <c r="S870" s="51"/>
      <c r="T870" s="50"/>
      <c r="U870" s="50"/>
      <c r="V870" s="73"/>
      <c r="W870" s="50"/>
      <c r="X870" s="50"/>
      <c r="AN870" s="50"/>
      <c r="AO870" s="50"/>
      <c r="AP870" s="50"/>
      <c r="AQ870" s="50"/>
      <c r="AR870" s="50"/>
      <c r="AS870" s="51"/>
      <c r="AT870" s="50"/>
      <c r="AU870" s="50"/>
      <c r="AV870" s="73"/>
      <c r="AW870" s="50"/>
      <c r="AX870" s="50"/>
    </row>
    <row r="871" spans="14:50" x14ac:dyDescent="0.3">
      <c r="N871" s="50"/>
      <c r="O871" s="50"/>
      <c r="P871" s="50"/>
      <c r="Q871" s="50"/>
      <c r="R871" s="50"/>
      <c r="S871" s="51"/>
      <c r="T871" s="50"/>
      <c r="U871" s="50"/>
      <c r="V871" s="73"/>
      <c r="W871" s="50"/>
      <c r="X871" s="50"/>
      <c r="AN871" s="50"/>
      <c r="AO871" s="50"/>
      <c r="AP871" s="50"/>
      <c r="AQ871" s="50"/>
      <c r="AR871" s="50"/>
      <c r="AS871" s="51"/>
      <c r="AT871" s="50"/>
      <c r="AU871" s="50"/>
      <c r="AV871" s="73"/>
      <c r="AW871" s="50"/>
      <c r="AX871" s="50"/>
    </row>
    <row r="872" spans="14:50" x14ac:dyDescent="0.3">
      <c r="N872" s="50"/>
      <c r="O872" s="50"/>
      <c r="P872" s="50"/>
      <c r="Q872" s="50"/>
      <c r="R872" s="50"/>
      <c r="S872" s="51"/>
      <c r="T872" s="50"/>
      <c r="U872" s="50"/>
      <c r="V872" s="73"/>
      <c r="W872" s="50"/>
      <c r="X872" s="50"/>
      <c r="AN872" s="50"/>
      <c r="AO872" s="50"/>
      <c r="AP872" s="50"/>
      <c r="AQ872" s="50"/>
      <c r="AR872" s="50"/>
      <c r="AS872" s="51"/>
      <c r="AT872" s="50"/>
      <c r="AU872" s="50"/>
      <c r="AV872" s="73"/>
      <c r="AW872" s="50"/>
      <c r="AX872" s="50"/>
    </row>
    <row r="873" spans="14:50" x14ac:dyDescent="0.3">
      <c r="N873" s="50"/>
      <c r="O873" s="50"/>
      <c r="P873" s="50"/>
      <c r="Q873" s="50"/>
      <c r="R873" s="50"/>
      <c r="S873" s="51"/>
      <c r="T873" s="50"/>
      <c r="U873" s="50"/>
      <c r="V873" s="73"/>
      <c r="W873" s="50"/>
      <c r="X873" s="50"/>
      <c r="AN873" s="50"/>
      <c r="AO873" s="50"/>
      <c r="AP873" s="50"/>
      <c r="AQ873" s="50"/>
      <c r="AR873" s="50"/>
      <c r="AS873" s="51"/>
      <c r="AT873" s="50"/>
      <c r="AU873" s="50"/>
      <c r="AV873" s="73"/>
      <c r="AW873" s="50"/>
      <c r="AX873" s="50"/>
    </row>
    <row r="874" spans="14:50" x14ac:dyDescent="0.3">
      <c r="N874" s="50"/>
      <c r="O874" s="50"/>
      <c r="P874" s="50"/>
      <c r="Q874" s="50"/>
      <c r="R874" s="50"/>
      <c r="S874" s="51"/>
      <c r="T874" s="50"/>
      <c r="U874" s="50"/>
      <c r="V874" s="73"/>
      <c r="W874" s="50"/>
      <c r="X874" s="50"/>
      <c r="AN874" s="50"/>
      <c r="AO874" s="50"/>
      <c r="AP874" s="50"/>
      <c r="AQ874" s="50"/>
      <c r="AR874" s="50"/>
      <c r="AS874" s="51"/>
      <c r="AT874" s="50"/>
      <c r="AU874" s="50"/>
      <c r="AV874" s="73"/>
      <c r="AW874" s="50"/>
      <c r="AX874" s="50"/>
    </row>
    <row r="875" spans="14:50" x14ac:dyDescent="0.3">
      <c r="N875" s="50"/>
      <c r="O875" s="50"/>
      <c r="P875" s="50"/>
      <c r="Q875" s="50"/>
      <c r="R875" s="50"/>
      <c r="S875" s="51"/>
      <c r="T875" s="50"/>
      <c r="U875" s="50"/>
      <c r="V875" s="73"/>
      <c r="W875" s="50"/>
      <c r="X875" s="50"/>
      <c r="AN875" s="50"/>
      <c r="AO875" s="50"/>
      <c r="AP875" s="50"/>
      <c r="AQ875" s="50"/>
      <c r="AR875" s="50"/>
      <c r="AS875" s="51"/>
      <c r="AT875" s="50"/>
      <c r="AU875" s="50"/>
      <c r="AV875" s="73"/>
      <c r="AW875" s="50"/>
      <c r="AX875" s="50"/>
    </row>
    <row r="876" spans="14:50" x14ac:dyDescent="0.3">
      <c r="N876" s="50"/>
      <c r="O876" s="50"/>
      <c r="P876" s="50"/>
      <c r="Q876" s="50"/>
      <c r="R876" s="50"/>
      <c r="S876" s="51"/>
      <c r="T876" s="50"/>
      <c r="U876" s="50"/>
      <c r="V876" s="73"/>
      <c r="W876" s="50"/>
      <c r="X876" s="50"/>
      <c r="AN876" s="50"/>
      <c r="AO876" s="50"/>
      <c r="AP876" s="50"/>
      <c r="AQ876" s="50"/>
      <c r="AR876" s="50"/>
      <c r="AS876" s="51"/>
      <c r="AT876" s="50"/>
      <c r="AU876" s="50"/>
      <c r="AV876" s="73"/>
      <c r="AW876" s="50"/>
      <c r="AX876" s="50"/>
    </row>
    <row r="877" spans="14:50" x14ac:dyDescent="0.3">
      <c r="N877" s="50"/>
      <c r="O877" s="50"/>
      <c r="P877" s="50"/>
      <c r="Q877" s="50"/>
      <c r="R877" s="50"/>
      <c r="S877" s="51"/>
      <c r="T877" s="50"/>
      <c r="U877" s="50"/>
      <c r="V877" s="73"/>
      <c r="W877" s="50"/>
      <c r="X877" s="50"/>
      <c r="AN877" s="50"/>
      <c r="AO877" s="50"/>
      <c r="AP877" s="50"/>
      <c r="AQ877" s="50"/>
      <c r="AR877" s="50"/>
      <c r="AS877" s="51"/>
      <c r="AT877" s="50"/>
      <c r="AU877" s="50"/>
      <c r="AV877" s="73"/>
      <c r="AW877" s="50"/>
      <c r="AX877" s="50"/>
    </row>
    <row r="878" spans="14:50" x14ac:dyDescent="0.3">
      <c r="N878" s="50"/>
      <c r="O878" s="50"/>
      <c r="P878" s="50"/>
      <c r="Q878" s="50"/>
      <c r="R878" s="50"/>
      <c r="S878" s="51"/>
      <c r="T878" s="50"/>
      <c r="U878" s="50"/>
      <c r="V878" s="73"/>
      <c r="W878" s="50"/>
      <c r="X878" s="50"/>
      <c r="AN878" s="50"/>
      <c r="AO878" s="50"/>
      <c r="AP878" s="50"/>
      <c r="AQ878" s="50"/>
      <c r="AR878" s="50"/>
      <c r="AS878" s="51"/>
      <c r="AT878" s="50"/>
      <c r="AU878" s="50"/>
      <c r="AV878" s="73"/>
      <c r="AW878" s="50"/>
      <c r="AX878" s="50"/>
    </row>
    <row r="879" spans="14:50" x14ac:dyDescent="0.3">
      <c r="N879" s="50"/>
      <c r="O879" s="50"/>
      <c r="P879" s="50"/>
      <c r="Q879" s="50"/>
      <c r="R879" s="50"/>
      <c r="S879" s="51"/>
      <c r="T879" s="50"/>
      <c r="U879" s="50"/>
      <c r="V879" s="73"/>
      <c r="W879" s="50"/>
      <c r="X879" s="50"/>
      <c r="AN879" s="50"/>
      <c r="AO879" s="50"/>
      <c r="AP879" s="50"/>
      <c r="AQ879" s="50"/>
      <c r="AR879" s="50"/>
      <c r="AS879" s="51"/>
      <c r="AT879" s="50"/>
      <c r="AU879" s="50"/>
      <c r="AV879" s="73"/>
      <c r="AW879" s="50"/>
      <c r="AX879" s="50"/>
    </row>
    <row r="880" spans="14:50" x14ac:dyDescent="0.3">
      <c r="N880" s="50"/>
      <c r="O880" s="50"/>
      <c r="P880" s="50"/>
      <c r="Q880" s="50"/>
      <c r="R880" s="50"/>
      <c r="S880" s="51"/>
      <c r="T880" s="50"/>
      <c r="U880" s="50"/>
      <c r="V880" s="73"/>
      <c r="W880" s="50"/>
      <c r="X880" s="50"/>
      <c r="AN880" s="50"/>
      <c r="AO880" s="50"/>
      <c r="AP880" s="50"/>
      <c r="AQ880" s="50"/>
      <c r="AR880" s="50"/>
      <c r="AS880" s="51"/>
      <c r="AT880" s="50"/>
      <c r="AU880" s="50"/>
      <c r="AV880" s="73"/>
      <c r="AW880" s="50"/>
      <c r="AX880" s="50"/>
    </row>
    <row r="881" spans="14:50" x14ac:dyDescent="0.3">
      <c r="N881" s="50"/>
      <c r="O881" s="50"/>
      <c r="P881" s="50"/>
      <c r="Q881" s="50"/>
      <c r="R881" s="50"/>
      <c r="S881" s="51"/>
      <c r="T881" s="50"/>
      <c r="U881" s="50"/>
      <c r="V881" s="73"/>
      <c r="W881" s="50"/>
      <c r="X881" s="50"/>
      <c r="AN881" s="50"/>
      <c r="AO881" s="50"/>
      <c r="AP881" s="50"/>
      <c r="AQ881" s="50"/>
      <c r="AR881" s="50"/>
      <c r="AS881" s="51"/>
      <c r="AT881" s="50"/>
      <c r="AU881" s="50"/>
      <c r="AV881" s="73"/>
      <c r="AW881" s="50"/>
      <c r="AX881" s="50"/>
    </row>
    <row r="882" spans="14:50" x14ac:dyDescent="0.3">
      <c r="N882" s="50"/>
      <c r="O882" s="50"/>
      <c r="P882" s="50"/>
      <c r="Q882" s="50"/>
      <c r="R882" s="50"/>
      <c r="S882" s="51"/>
      <c r="T882" s="50"/>
      <c r="U882" s="50"/>
      <c r="V882" s="73"/>
      <c r="W882" s="50"/>
      <c r="X882" s="50"/>
      <c r="AN882" s="50"/>
      <c r="AO882" s="50"/>
      <c r="AP882" s="50"/>
      <c r="AQ882" s="50"/>
      <c r="AR882" s="50"/>
      <c r="AS882" s="51"/>
      <c r="AT882" s="50"/>
      <c r="AU882" s="50"/>
      <c r="AV882" s="73"/>
      <c r="AW882" s="50"/>
      <c r="AX882" s="50"/>
    </row>
    <row r="883" spans="14:50" x14ac:dyDescent="0.3">
      <c r="N883" s="50"/>
      <c r="O883" s="50"/>
      <c r="P883" s="50"/>
      <c r="Q883" s="50"/>
      <c r="R883" s="50"/>
      <c r="S883" s="51"/>
      <c r="T883" s="50"/>
      <c r="U883" s="50"/>
      <c r="V883" s="73"/>
      <c r="W883" s="50"/>
      <c r="X883" s="50"/>
      <c r="AN883" s="50"/>
      <c r="AO883" s="50"/>
      <c r="AP883" s="50"/>
      <c r="AQ883" s="50"/>
      <c r="AR883" s="50"/>
      <c r="AS883" s="51"/>
      <c r="AT883" s="50"/>
      <c r="AU883" s="50"/>
      <c r="AV883" s="73"/>
      <c r="AW883" s="50"/>
      <c r="AX883" s="50"/>
    </row>
    <row r="884" spans="14:50" x14ac:dyDescent="0.3">
      <c r="N884" s="50"/>
      <c r="O884" s="50"/>
      <c r="P884" s="50"/>
      <c r="Q884" s="50"/>
      <c r="R884" s="50"/>
      <c r="S884" s="51"/>
      <c r="T884" s="50"/>
      <c r="U884" s="50"/>
      <c r="V884" s="73"/>
      <c r="W884" s="50"/>
      <c r="X884" s="50"/>
      <c r="AN884" s="50"/>
      <c r="AO884" s="50"/>
      <c r="AP884" s="50"/>
      <c r="AQ884" s="50"/>
      <c r="AR884" s="50"/>
      <c r="AS884" s="51"/>
      <c r="AT884" s="50"/>
      <c r="AU884" s="50"/>
      <c r="AV884" s="73"/>
      <c r="AW884" s="50"/>
      <c r="AX884" s="50"/>
    </row>
    <row r="885" spans="14:50" x14ac:dyDescent="0.3">
      <c r="N885" s="50"/>
      <c r="O885" s="50"/>
      <c r="P885" s="50"/>
      <c r="Q885" s="50"/>
      <c r="R885" s="50"/>
      <c r="S885" s="51"/>
      <c r="T885" s="50"/>
      <c r="U885" s="50"/>
      <c r="V885" s="73"/>
      <c r="W885" s="50"/>
      <c r="X885" s="50"/>
      <c r="AN885" s="50"/>
      <c r="AO885" s="50"/>
      <c r="AP885" s="50"/>
      <c r="AQ885" s="50"/>
      <c r="AR885" s="50"/>
      <c r="AS885" s="51"/>
      <c r="AT885" s="50"/>
      <c r="AU885" s="50"/>
      <c r="AV885" s="73"/>
      <c r="AW885" s="50"/>
      <c r="AX885" s="50"/>
    </row>
    <row r="886" spans="14:50" x14ac:dyDescent="0.3">
      <c r="N886" s="50"/>
      <c r="O886" s="50"/>
      <c r="P886" s="50"/>
      <c r="Q886" s="50"/>
      <c r="R886" s="50"/>
      <c r="S886" s="51"/>
      <c r="T886" s="50"/>
      <c r="U886" s="50"/>
      <c r="V886" s="73"/>
      <c r="W886" s="50"/>
      <c r="X886" s="50"/>
      <c r="AN886" s="50"/>
      <c r="AO886" s="50"/>
      <c r="AP886" s="50"/>
      <c r="AQ886" s="50"/>
      <c r="AR886" s="50"/>
      <c r="AS886" s="51"/>
      <c r="AT886" s="50"/>
      <c r="AU886" s="50"/>
      <c r="AV886" s="73"/>
      <c r="AW886" s="50"/>
      <c r="AX886" s="50"/>
    </row>
    <row r="887" spans="14:50" x14ac:dyDescent="0.3">
      <c r="N887" s="50"/>
      <c r="O887" s="50"/>
      <c r="P887" s="50"/>
      <c r="Q887" s="50"/>
      <c r="R887" s="50"/>
      <c r="S887" s="51"/>
      <c r="T887" s="50"/>
      <c r="U887" s="50"/>
      <c r="V887" s="73"/>
      <c r="W887" s="50"/>
      <c r="X887" s="50"/>
      <c r="AN887" s="50"/>
      <c r="AO887" s="50"/>
      <c r="AP887" s="50"/>
      <c r="AQ887" s="50"/>
      <c r="AR887" s="50"/>
      <c r="AS887" s="51"/>
      <c r="AT887" s="50"/>
      <c r="AU887" s="50"/>
      <c r="AV887" s="73"/>
      <c r="AW887" s="50"/>
      <c r="AX887" s="50"/>
    </row>
    <row r="888" spans="14:50" x14ac:dyDescent="0.3">
      <c r="N888" s="50"/>
      <c r="O888" s="50"/>
      <c r="P888" s="50"/>
      <c r="Q888" s="50"/>
      <c r="R888" s="50"/>
      <c r="S888" s="51"/>
      <c r="T888" s="50"/>
      <c r="U888" s="50"/>
      <c r="V888" s="73"/>
      <c r="W888" s="50"/>
      <c r="X888" s="50"/>
      <c r="AN888" s="50"/>
      <c r="AO888" s="50"/>
      <c r="AP888" s="50"/>
      <c r="AQ888" s="50"/>
      <c r="AR888" s="50"/>
      <c r="AS888" s="51"/>
      <c r="AT888" s="50"/>
      <c r="AU888" s="50"/>
      <c r="AV888" s="73"/>
      <c r="AW888" s="50"/>
      <c r="AX888" s="50"/>
    </row>
    <row r="889" spans="14:50" x14ac:dyDescent="0.3">
      <c r="N889" s="50"/>
      <c r="O889" s="50"/>
      <c r="P889" s="50"/>
      <c r="Q889" s="50"/>
      <c r="R889" s="50"/>
      <c r="S889" s="51"/>
      <c r="T889" s="50"/>
      <c r="U889" s="50"/>
      <c r="V889" s="73"/>
      <c r="W889" s="50"/>
      <c r="X889" s="50"/>
      <c r="AN889" s="50"/>
      <c r="AO889" s="50"/>
      <c r="AP889" s="50"/>
      <c r="AQ889" s="50"/>
      <c r="AR889" s="50"/>
      <c r="AS889" s="51"/>
      <c r="AT889" s="50"/>
      <c r="AU889" s="50"/>
      <c r="AV889" s="73"/>
      <c r="AW889" s="50"/>
      <c r="AX889" s="50"/>
    </row>
    <row r="890" spans="14:50" x14ac:dyDescent="0.3">
      <c r="N890" s="50"/>
      <c r="O890" s="50"/>
      <c r="P890" s="50"/>
      <c r="Q890" s="50"/>
      <c r="R890" s="50"/>
      <c r="S890" s="51"/>
      <c r="T890" s="50"/>
      <c r="U890" s="50"/>
      <c r="V890" s="73"/>
      <c r="W890" s="50"/>
      <c r="X890" s="50"/>
      <c r="AN890" s="50"/>
      <c r="AO890" s="50"/>
      <c r="AP890" s="50"/>
      <c r="AQ890" s="50"/>
      <c r="AR890" s="50"/>
      <c r="AS890" s="51"/>
      <c r="AT890" s="50"/>
      <c r="AU890" s="50"/>
      <c r="AV890" s="73"/>
      <c r="AW890" s="50"/>
      <c r="AX890" s="50"/>
    </row>
    <row r="891" spans="14:50" x14ac:dyDescent="0.3">
      <c r="N891" s="50"/>
      <c r="O891" s="50"/>
      <c r="P891" s="50"/>
      <c r="Q891" s="50"/>
      <c r="R891" s="50"/>
      <c r="S891" s="51"/>
      <c r="T891" s="50"/>
      <c r="U891" s="50"/>
      <c r="V891" s="73"/>
      <c r="W891" s="50"/>
      <c r="X891" s="50"/>
      <c r="AN891" s="50"/>
      <c r="AO891" s="50"/>
      <c r="AP891" s="50"/>
      <c r="AQ891" s="50"/>
      <c r="AR891" s="50"/>
      <c r="AS891" s="51"/>
      <c r="AT891" s="50"/>
      <c r="AU891" s="50"/>
      <c r="AV891" s="73"/>
      <c r="AW891" s="50"/>
      <c r="AX891" s="50"/>
    </row>
    <row r="892" spans="14:50" x14ac:dyDescent="0.3">
      <c r="N892" s="50"/>
      <c r="O892" s="50"/>
      <c r="P892" s="50"/>
      <c r="Q892" s="50"/>
      <c r="R892" s="50"/>
      <c r="S892" s="51"/>
      <c r="T892" s="50"/>
      <c r="U892" s="50"/>
      <c r="V892" s="73"/>
      <c r="W892" s="50"/>
      <c r="X892" s="50"/>
      <c r="AN892" s="50"/>
      <c r="AO892" s="50"/>
      <c r="AP892" s="50"/>
      <c r="AQ892" s="50"/>
      <c r="AR892" s="50"/>
      <c r="AS892" s="51"/>
      <c r="AT892" s="50"/>
      <c r="AU892" s="50"/>
      <c r="AV892" s="73"/>
      <c r="AW892" s="50"/>
      <c r="AX892" s="50"/>
    </row>
    <row r="893" spans="14:50" x14ac:dyDescent="0.3">
      <c r="N893" s="50"/>
      <c r="O893" s="50"/>
      <c r="P893" s="50"/>
      <c r="Q893" s="50"/>
      <c r="R893" s="50"/>
      <c r="S893" s="51"/>
      <c r="T893" s="50"/>
      <c r="U893" s="50"/>
      <c r="V893" s="73"/>
      <c r="W893" s="50"/>
      <c r="X893" s="50"/>
      <c r="AN893" s="50"/>
      <c r="AO893" s="50"/>
      <c r="AP893" s="50"/>
      <c r="AQ893" s="50"/>
      <c r="AR893" s="50"/>
      <c r="AS893" s="51"/>
      <c r="AT893" s="50"/>
      <c r="AU893" s="50"/>
      <c r="AV893" s="73"/>
      <c r="AW893" s="50"/>
      <c r="AX893" s="50"/>
    </row>
    <row r="894" spans="14:50" x14ac:dyDescent="0.3">
      <c r="N894" s="50"/>
      <c r="O894" s="50"/>
      <c r="P894" s="50"/>
      <c r="Q894" s="50"/>
      <c r="R894" s="50"/>
      <c r="S894" s="51"/>
      <c r="T894" s="50"/>
      <c r="U894" s="50"/>
      <c r="V894" s="73"/>
      <c r="W894" s="50"/>
      <c r="X894" s="50"/>
      <c r="AN894" s="50"/>
      <c r="AO894" s="50"/>
      <c r="AP894" s="50"/>
      <c r="AQ894" s="50"/>
      <c r="AR894" s="50"/>
      <c r="AS894" s="51"/>
      <c r="AT894" s="50"/>
      <c r="AU894" s="50"/>
      <c r="AV894" s="73"/>
      <c r="AW894" s="50"/>
      <c r="AX894" s="50"/>
    </row>
    <row r="895" spans="14:50" x14ac:dyDescent="0.3">
      <c r="N895" s="50"/>
      <c r="O895" s="50"/>
      <c r="P895" s="50"/>
      <c r="Q895" s="50"/>
      <c r="R895" s="50"/>
      <c r="S895" s="51"/>
      <c r="T895" s="50"/>
      <c r="U895" s="50"/>
      <c r="V895" s="73"/>
      <c r="W895" s="50"/>
      <c r="X895" s="50"/>
      <c r="AN895" s="50"/>
      <c r="AO895" s="50"/>
      <c r="AP895" s="50"/>
      <c r="AQ895" s="50"/>
      <c r="AR895" s="50"/>
      <c r="AS895" s="51"/>
      <c r="AT895" s="50"/>
      <c r="AU895" s="50"/>
      <c r="AV895" s="73"/>
      <c r="AW895" s="50"/>
      <c r="AX895" s="50"/>
    </row>
    <row r="896" spans="14:50" x14ac:dyDescent="0.3">
      <c r="N896" s="50"/>
      <c r="O896" s="50"/>
      <c r="P896" s="50"/>
      <c r="Q896" s="50"/>
      <c r="R896" s="50"/>
      <c r="S896" s="51"/>
      <c r="T896" s="50"/>
      <c r="U896" s="50"/>
      <c r="V896" s="73"/>
      <c r="W896" s="50"/>
      <c r="X896" s="50"/>
      <c r="AN896" s="50"/>
      <c r="AO896" s="50"/>
      <c r="AP896" s="50"/>
      <c r="AQ896" s="50"/>
      <c r="AR896" s="50"/>
      <c r="AS896" s="51"/>
      <c r="AT896" s="50"/>
      <c r="AU896" s="50"/>
      <c r="AV896" s="73"/>
      <c r="AW896" s="50"/>
      <c r="AX896" s="50"/>
    </row>
    <row r="897" spans="14:50" x14ac:dyDescent="0.3">
      <c r="N897" s="50"/>
      <c r="O897" s="50"/>
      <c r="P897" s="50"/>
      <c r="Q897" s="50"/>
      <c r="R897" s="50"/>
      <c r="S897" s="51"/>
      <c r="T897" s="50"/>
      <c r="U897" s="50"/>
      <c r="V897" s="73"/>
      <c r="W897" s="50"/>
      <c r="X897" s="50"/>
      <c r="AN897" s="50"/>
      <c r="AO897" s="50"/>
      <c r="AP897" s="50"/>
      <c r="AQ897" s="50"/>
      <c r="AR897" s="50"/>
      <c r="AS897" s="51"/>
      <c r="AT897" s="50"/>
      <c r="AU897" s="50"/>
      <c r="AV897" s="73"/>
      <c r="AW897" s="50"/>
      <c r="AX897" s="50"/>
    </row>
    <row r="898" spans="14:50" x14ac:dyDescent="0.3">
      <c r="N898" s="50"/>
      <c r="O898" s="50"/>
      <c r="P898" s="50"/>
      <c r="Q898" s="50"/>
      <c r="R898" s="50"/>
      <c r="S898" s="51"/>
      <c r="T898" s="50"/>
      <c r="U898" s="50"/>
      <c r="V898" s="73"/>
      <c r="W898" s="50"/>
      <c r="X898" s="50"/>
      <c r="AN898" s="50"/>
      <c r="AO898" s="50"/>
      <c r="AP898" s="50"/>
      <c r="AQ898" s="50"/>
      <c r="AR898" s="50"/>
      <c r="AS898" s="51"/>
      <c r="AT898" s="50"/>
      <c r="AU898" s="50"/>
      <c r="AV898" s="73"/>
      <c r="AW898" s="50"/>
      <c r="AX898" s="50"/>
    </row>
    <row r="899" spans="14:50" x14ac:dyDescent="0.3">
      <c r="N899" s="50"/>
      <c r="O899" s="50"/>
      <c r="P899" s="50"/>
      <c r="Q899" s="50"/>
      <c r="R899" s="50"/>
      <c r="S899" s="51"/>
      <c r="T899" s="50"/>
      <c r="U899" s="50"/>
      <c r="V899" s="73"/>
      <c r="W899" s="50"/>
      <c r="X899" s="50"/>
      <c r="AN899" s="50"/>
      <c r="AO899" s="50"/>
      <c r="AP899" s="50"/>
      <c r="AQ899" s="50"/>
      <c r="AR899" s="50"/>
      <c r="AS899" s="51"/>
      <c r="AT899" s="50"/>
      <c r="AU899" s="50"/>
      <c r="AV899" s="73"/>
      <c r="AW899" s="50"/>
      <c r="AX899" s="50"/>
    </row>
    <row r="900" spans="14:50" x14ac:dyDescent="0.3">
      <c r="N900" s="50"/>
      <c r="O900" s="50"/>
      <c r="P900" s="50"/>
      <c r="Q900" s="50"/>
      <c r="R900" s="50"/>
      <c r="S900" s="51"/>
      <c r="T900" s="50"/>
      <c r="U900" s="50"/>
      <c r="V900" s="73"/>
      <c r="W900" s="50"/>
      <c r="X900" s="50"/>
      <c r="AN900" s="50"/>
      <c r="AO900" s="50"/>
      <c r="AP900" s="50"/>
      <c r="AQ900" s="50"/>
      <c r="AR900" s="50"/>
      <c r="AS900" s="51"/>
      <c r="AT900" s="50"/>
      <c r="AU900" s="50"/>
      <c r="AV900" s="73"/>
      <c r="AW900" s="50"/>
      <c r="AX900" s="50"/>
    </row>
    <row r="901" spans="14:50" x14ac:dyDescent="0.3">
      <c r="N901" s="50"/>
      <c r="O901" s="50"/>
      <c r="P901" s="50"/>
      <c r="Q901" s="50"/>
      <c r="R901" s="50"/>
      <c r="S901" s="51"/>
      <c r="T901" s="50"/>
      <c r="U901" s="50"/>
      <c r="V901" s="73"/>
      <c r="W901" s="50"/>
      <c r="X901" s="50"/>
      <c r="AN901" s="50"/>
      <c r="AO901" s="50"/>
      <c r="AP901" s="50"/>
      <c r="AQ901" s="50"/>
      <c r="AR901" s="50"/>
      <c r="AS901" s="51"/>
      <c r="AT901" s="50"/>
      <c r="AU901" s="50"/>
      <c r="AV901" s="73"/>
      <c r="AW901" s="50"/>
      <c r="AX901" s="50"/>
    </row>
    <row r="902" spans="14:50" x14ac:dyDescent="0.3">
      <c r="N902" s="50"/>
      <c r="O902" s="50"/>
      <c r="P902" s="50"/>
      <c r="Q902" s="50"/>
      <c r="R902" s="50"/>
      <c r="S902" s="51"/>
      <c r="T902" s="50"/>
      <c r="U902" s="50"/>
      <c r="V902" s="73"/>
      <c r="W902" s="50"/>
      <c r="X902" s="50"/>
      <c r="AN902" s="50"/>
      <c r="AO902" s="50"/>
      <c r="AP902" s="50"/>
      <c r="AQ902" s="50"/>
      <c r="AR902" s="50"/>
      <c r="AS902" s="51"/>
      <c r="AT902" s="50"/>
      <c r="AU902" s="50"/>
      <c r="AV902" s="73"/>
      <c r="AW902" s="50"/>
      <c r="AX902" s="50"/>
    </row>
    <row r="903" spans="14:50" x14ac:dyDescent="0.3">
      <c r="N903" s="50"/>
      <c r="O903" s="50"/>
      <c r="P903" s="50"/>
      <c r="Q903" s="50"/>
      <c r="R903" s="50"/>
      <c r="S903" s="51"/>
      <c r="T903" s="50"/>
      <c r="U903" s="50"/>
      <c r="V903" s="73"/>
      <c r="W903" s="50"/>
      <c r="X903" s="50"/>
      <c r="AN903" s="50"/>
      <c r="AO903" s="50"/>
      <c r="AP903" s="50"/>
      <c r="AQ903" s="50"/>
      <c r="AR903" s="50"/>
      <c r="AS903" s="51"/>
      <c r="AT903" s="50"/>
      <c r="AU903" s="50"/>
      <c r="AV903" s="73"/>
      <c r="AW903" s="50"/>
      <c r="AX903" s="50"/>
    </row>
    <row r="904" spans="14:50" x14ac:dyDescent="0.3">
      <c r="N904" s="50"/>
      <c r="O904" s="50"/>
      <c r="P904" s="50"/>
      <c r="Q904" s="50"/>
      <c r="R904" s="50"/>
      <c r="S904" s="51"/>
      <c r="T904" s="50"/>
      <c r="U904" s="50"/>
      <c r="V904" s="73"/>
      <c r="W904" s="50"/>
      <c r="X904" s="50"/>
      <c r="AN904" s="50"/>
      <c r="AO904" s="50"/>
      <c r="AP904" s="50"/>
      <c r="AQ904" s="50"/>
      <c r="AR904" s="50"/>
      <c r="AS904" s="51"/>
      <c r="AT904" s="50"/>
      <c r="AU904" s="50"/>
      <c r="AV904" s="73"/>
      <c r="AW904" s="50"/>
      <c r="AX904" s="50"/>
    </row>
    <row r="905" spans="14:50" x14ac:dyDescent="0.3">
      <c r="N905" s="50"/>
      <c r="O905" s="50"/>
      <c r="P905" s="50"/>
      <c r="Q905" s="50"/>
      <c r="R905" s="50"/>
      <c r="S905" s="51"/>
      <c r="T905" s="50"/>
      <c r="U905" s="50"/>
      <c r="V905" s="73"/>
      <c r="W905" s="50"/>
      <c r="X905" s="50"/>
      <c r="AN905" s="50"/>
      <c r="AO905" s="50"/>
      <c r="AP905" s="50"/>
      <c r="AQ905" s="50"/>
      <c r="AR905" s="50"/>
      <c r="AS905" s="51"/>
      <c r="AT905" s="50"/>
      <c r="AU905" s="50"/>
      <c r="AV905" s="73"/>
      <c r="AW905" s="50"/>
      <c r="AX905" s="50"/>
    </row>
    <row r="906" spans="14:50" x14ac:dyDescent="0.3">
      <c r="N906" s="50"/>
      <c r="O906" s="50"/>
      <c r="P906" s="50"/>
      <c r="Q906" s="50"/>
      <c r="R906" s="50"/>
      <c r="S906" s="51"/>
      <c r="T906" s="50"/>
      <c r="U906" s="50"/>
      <c r="V906" s="73"/>
      <c r="W906" s="50"/>
      <c r="X906" s="50"/>
      <c r="AN906" s="50"/>
      <c r="AO906" s="50"/>
      <c r="AP906" s="50"/>
      <c r="AQ906" s="50"/>
      <c r="AR906" s="50"/>
      <c r="AS906" s="51"/>
      <c r="AT906" s="50"/>
      <c r="AU906" s="50"/>
      <c r="AV906" s="73"/>
      <c r="AW906" s="50"/>
      <c r="AX906" s="50"/>
    </row>
    <row r="907" spans="14:50" x14ac:dyDescent="0.3">
      <c r="N907" s="50"/>
      <c r="O907" s="50"/>
      <c r="P907" s="50"/>
      <c r="Q907" s="50"/>
      <c r="R907" s="50"/>
      <c r="S907" s="51"/>
      <c r="T907" s="50"/>
      <c r="U907" s="50"/>
      <c r="V907" s="73"/>
      <c r="W907" s="50"/>
      <c r="X907" s="50"/>
      <c r="AN907" s="50"/>
      <c r="AO907" s="50"/>
      <c r="AP907" s="50"/>
      <c r="AQ907" s="50"/>
      <c r="AR907" s="50"/>
      <c r="AS907" s="51"/>
      <c r="AT907" s="50"/>
      <c r="AU907" s="50"/>
      <c r="AV907" s="73"/>
      <c r="AW907" s="50"/>
      <c r="AX907" s="50"/>
    </row>
    <row r="908" spans="14:50" x14ac:dyDescent="0.3">
      <c r="N908" s="50"/>
      <c r="O908" s="50"/>
      <c r="P908" s="50"/>
      <c r="Q908" s="50"/>
      <c r="R908" s="50"/>
      <c r="S908" s="51"/>
      <c r="T908" s="50"/>
      <c r="U908" s="50"/>
      <c r="V908" s="73"/>
      <c r="W908" s="50"/>
      <c r="X908" s="50"/>
      <c r="AN908" s="50"/>
      <c r="AO908" s="50"/>
      <c r="AP908" s="50"/>
      <c r="AQ908" s="50"/>
      <c r="AR908" s="50"/>
      <c r="AS908" s="51"/>
      <c r="AT908" s="50"/>
      <c r="AU908" s="50"/>
      <c r="AV908" s="73"/>
      <c r="AW908" s="50"/>
      <c r="AX908" s="50"/>
    </row>
    <row r="909" spans="14:50" x14ac:dyDescent="0.3">
      <c r="N909" s="50"/>
      <c r="O909" s="50"/>
      <c r="P909" s="50"/>
      <c r="Q909" s="50"/>
      <c r="R909" s="50"/>
      <c r="S909" s="51"/>
      <c r="T909" s="50"/>
      <c r="U909" s="50"/>
      <c r="V909" s="73"/>
      <c r="W909" s="50"/>
      <c r="X909" s="50"/>
      <c r="AN909" s="50"/>
      <c r="AO909" s="50"/>
      <c r="AP909" s="50"/>
      <c r="AQ909" s="50"/>
      <c r="AR909" s="50"/>
      <c r="AS909" s="51"/>
      <c r="AT909" s="50"/>
      <c r="AU909" s="50"/>
      <c r="AV909" s="73"/>
      <c r="AW909" s="50"/>
      <c r="AX909" s="50"/>
    </row>
    <row r="910" spans="14:50" x14ac:dyDescent="0.3">
      <c r="N910" s="50"/>
      <c r="O910" s="50"/>
      <c r="P910" s="50"/>
      <c r="Q910" s="50"/>
      <c r="R910" s="50"/>
      <c r="S910" s="51"/>
      <c r="T910" s="50"/>
      <c r="U910" s="50"/>
      <c r="V910" s="73"/>
      <c r="W910" s="50"/>
      <c r="X910" s="50"/>
      <c r="AN910" s="50"/>
      <c r="AO910" s="50"/>
      <c r="AP910" s="50"/>
      <c r="AQ910" s="50"/>
      <c r="AR910" s="50"/>
      <c r="AS910" s="51"/>
      <c r="AT910" s="50"/>
      <c r="AU910" s="50"/>
      <c r="AV910" s="73"/>
      <c r="AW910" s="50"/>
      <c r="AX910" s="50"/>
    </row>
    <row r="911" spans="14:50" x14ac:dyDescent="0.3">
      <c r="N911" s="50"/>
      <c r="O911" s="50"/>
      <c r="P911" s="50"/>
      <c r="Q911" s="50"/>
      <c r="R911" s="50"/>
      <c r="S911" s="51"/>
      <c r="T911" s="50"/>
      <c r="U911" s="50"/>
      <c r="V911" s="73"/>
      <c r="W911" s="50"/>
      <c r="X911" s="50"/>
      <c r="AN911" s="50"/>
      <c r="AO911" s="50"/>
      <c r="AP911" s="50"/>
      <c r="AQ911" s="50"/>
      <c r="AR911" s="50"/>
      <c r="AS911" s="51"/>
      <c r="AT911" s="50"/>
      <c r="AU911" s="50"/>
      <c r="AV911" s="73"/>
      <c r="AW911" s="50"/>
      <c r="AX911" s="50"/>
    </row>
    <row r="912" spans="14:50" x14ac:dyDescent="0.3">
      <c r="N912" s="50"/>
      <c r="O912" s="50"/>
      <c r="P912" s="50"/>
      <c r="Q912" s="50"/>
      <c r="R912" s="50"/>
      <c r="S912" s="51"/>
      <c r="T912" s="50"/>
      <c r="U912" s="50"/>
      <c r="V912" s="73"/>
      <c r="W912" s="50"/>
      <c r="X912" s="50"/>
      <c r="AN912" s="50"/>
      <c r="AO912" s="50"/>
      <c r="AP912" s="50"/>
      <c r="AQ912" s="50"/>
      <c r="AR912" s="50"/>
      <c r="AS912" s="51"/>
      <c r="AT912" s="50"/>
      <c r="AU912" s="50"/>
      <c r="AV912" s="73"/>
      <c r="AW912" s="50"/>
      <c r="AX912" s="50"/>
    </row>
    <row r="913" spans="14:50" x14ac:dyDescent="0.3">
      <c r="N913" s="50"/>
      <c r="O913" s="50"/>
      <c r="P913" s="50"/>
      <c r="Q913" s="50"/>
      <c r="R913" s="50"/>
      <c r="S913" s="51"/>
      <c r="T913" s="50"/>
      <c r="U913" s="50"/>
      <c r="V913" s="73"/>
      <c r="W913" s="50"/>
      <c r="X913" s="50"/>
      <c r="AN913" s="50"/>
      <c r="AO913" s="50"/>
      <c r="AP913" s="50"/>
      <c r="AQ913" s="50"/>
      <c r="AR913" s="50"/>
      <c r="AS913" s="51"/>
      <c r="AT913" s="50"/>
      <c r="AU913" s="50"/>
      <c r="AV913" s="73"/>
      <c r="AW913" s="50"/>
      <c r="AX913" s="50"/>
    </row>
    <row r="914" spans="14:50" x14ac:dyDescent="0.3">
      <c r="N914" s="50"/>
      <c r="O914" s="50"/>
      <c r="P914" s="50"/>
      <c r="Q914" s="50"/>
      <c r="R914" s="50"/>
      <c r="S914" s="51"/>
      <c r="T914" s="50"/>
      <c r="U914" s="50"/>
      <c r="V914" s="73"/>
      <c r="W914" s="50"/>
      <c r="X914" s="50"/>
      <c r="AN914" s="50"/>
      <c r="AO914" s="50"/>
      <c r="AP914" s="50"/>
      <c r="AQ914" s="50"/>
      <c r="AR914" s="50"/>
      <c r="AS914" s="51"/>
      <c r="AT914" s="50"/>
      <c r="AU914" s="50"/>
      <c r="AV914" s="73"/>
      <c r="AW914" s="50"/>
      <c r="AX914" s="50"/>
    </row>
    <row r="915" spans="14:50" x14ac:dyDescent="0.3">
      <c r="N915" s="50"/>
      <c r="O915" s="50"/>
      <c r="P915" s="50"/>
      <c r="Q915" s="50"/>
      <c r="R915" s="50"/>
      <c r="S915" s="51"/>
      <c r="T915" s="50"/>
      <c r="U915" s="50"/>
      <c r="V915" s="73"/>
      <c r="W915" s="50"/>
      <c r="X915" s="50"/>
      <c r="AN915" s="50"/>
      <c r="AO915" s="50"/>
      <c r="AP915" s="50"/>
      <c r="AQ915" s="50"/>
      <c r="AR915" s="50"/>
      <c r="AS915" s="51"/>
      <c r="AT915" s="50"/>
      <c r="AU915" s="50"/>
      <c r="AV915" s="73"/>
      <c r="AW915" s="50"/>
      <c r="AX915" s="50"/>
    </row>
    <row r="916" spans="14:50" x14ac:dyDescent="0.3">
      <c r="N916" s="50"/>
      <c r="O916" s="50"/>
      <c r="P916" s="50"/>
      <c r="Q916" s="50"/>
      <c r="R916" s="50"/>
      <c r="S916" s="51"/>
      <c r="T916" s="50"/>
      <c r="U916" s="50"/>
      <c r="V916" s="73"/>
      <c r="W916" s="50"/>
      <c r="X916" s="50"/>
      <c r="AN916" s="50"/>
      <c r="AO916" s="50"/>
      <c r="AP916" s="50"/>
      <c r="AQ916" s="50"/>
      <c r="AR916" s="50"/>
      <c r="AS916" s="51"/>
      <c r="AT916" s="50"/>
      <c r="AU916" s="50"/>
      <c r="AV916" s="73"/>
      <c r="AW916" s="50"/>
      <c r="AX916" s="50"/>
    </row>
    <row r="917" spans="14:50" x14ac:dyDescent="0.3">
      <c r="N917" s="50"/>
      <c r="O917" s="50"/>
      <c r="P917" s="50"/>
      <c r="Q917" s="50"/>
      <c r="R917" s="50"/>
      <c r="S917" s="51"/>
      <c r="T917" s="50"/>
      <c r="U917" s="50"/>
      <c r="V917" s="73"/>
      <c r="W917" s="50"/>
      <c r="X917" s="50"/>
      <c r="AN917" s="50"/>
      <c r="AO917" s="50"/>
      <c r="AP917" s="50"/>
      <c r="AQ917" s="50"/>
      <c r="AR917" s="50"/>
      <c r="AS917" s="51"/>
      <c r="AT917" s="50"/>
      <c r="AU917" s="50"/>
      <c r="AV917" s="73"/>
      <c r="AW917" s="50"/>
      <c r="AX917" s="50"/>
    </row>
    <row r="918" spans="14:50" x14ac:dyDescent="0.3">
      <c r="N918" s="50"/>
      <c r="O918" s="50"/>
      <c r="P918" s="50"/>
      <c r="Q918" s="50"/>
      <c r="R918" s="50"/>
      <c r="S918" s="51"/>
      <c r="T918" s="50"/>
      <c r="U918" s="50"/>
      <c r="V918" s="73"/>
      <c r="W918" s="50"/>
      <c r="X918" s="50"/>
      <c r="AN918" s="50"/>
      <c r="AO918" s="50"/>
      <c r="AP918" s="50"/>
      <c r="AQ918" s="50"/>
      <c r="AR918" s="50"/>
      <c r="AS918" s="51"/>
      <c r="AT918" s="50"/>
      <c r="AU918" s="50"/>
      <c r="AV918" s="73"/>
      <c r="AW918" s="50"/>
      <c r="AX918" s="50"/>
    </row>
    <row r="919" spans="14:50" x14ac:dyDescent="0.3">
      <c r="N919" s="50"/>
      <c r="O919" s="50"/>
      <c r="P919" s="50"/>
      <c r="Q919" s="50"/>
      <c r="R919" s="50"/>
      <c r="S919" s="51"/>
      <c r="T919" s="50"/>
      <c r="U919" s="50"/>
      <c r="V919" s="73"/>
      <c r="W919" s="50"/>
      <c r="X919" s="50"/>
      <c r="AN919" s="50"/>
      <c r="AO919" s="50"/>
      <c r="AP919" s="50"/>
      <c r="AQ919" s="50"/>
      <c r="AR919" s="50"/>
      <c r="AS919" s="51"/>
      <c r="AT919" s="50"/>
      <c r="AU919" s="50"/>
      <c r="AV919" s="73"/>
      <c r="AW919" s="50"/>
      <c r="AX919" s="50"/>
    </row>
    <row r="920" spans="14:50" x14ac:dyDescent="0.3">
      <c r="N920" s="50"/>
      <c r="O920" s="50"/>
      <c r="P920" s="50"/>
      <c r="Q920" s="50"/>
      <c r="R920" s="50"/>
      <c r="S920" s="51"/>
      <c r="T920" s="50"/>
      <c r="U920" s="50"/>
      <c r="V920" s="73"/>
      <c r="W920" s="50"/>
      <c r="X920" s="50"/>
      <c r="AN920" s="50"/>
      <c r="AO920" s="50"/>
      <c r="AP920" s="50"/>
      <c r="AQ920" s="50"/>
      <c r="AR920" s="50"/>
      <c r="AS920" s="51"/>
      <c r="AT920" s="50"/>
      <c r="AU920" s="50"/>
      <c r="AV920" s="73"/>
      <c r="AW920" s="50"/>
      <c r="AX920" s="50"/>
    </row>
    <row r="921" spans="14:50" x14ac:dyDescent="0.3">
      <c r="N921" s="50"/>
      <c r="O921" s="50"/>
      <c r="P921" s="50"/>
      <c r="Q921" s="50"/>
      <c r="R921" s="50"/>
      <c r="S921" s="51"/>
      <c r="T921" s="50"/>
      <c r="U921" s="50"/>
      <c r="V921" s="73"/>
      <c r="W921" s="50"/>
      <c r="X921" s="50"/>
      <c r="AN921" s="50"/>
      <c r="AO921" s="50"/>
      <c r="AP921" s="50"/>
      <c r="AQ921" s="50"/>
      <c r="AR921" s="50"/>
      <c r="AS921" s="51"/>
      <c r="AT921" s="50"/>
      <c r="AU921" s="50"/>
      <c r="AV921" s="73"/>
      <c r="AW921" s="50"/>
      <c r="AX921" s="50"/>
    </row>
    <row r="922" spans="14:50" x14ac:dyDescent="0.3">
      <c r="N922" s="50"/>
      <c r="O922" s="50"/>
      <c r="P922" s="50"/>
      <c r="Q922" s="50"/>
      <c r="R922" s="50"/>
      <c r="S922" s="51"/>
      <c r="T922" s="50"/>
      <c r="U922" s="50"/>
      <c r="V922" s="73"/>
      <c r="W922" s="50"/>
      <c r="X922" s="50"/>
      <c r="AN922" s="50"/>
      <c r="AO922" s="50"/>
      <c r="AP922" s="50"/>
      <c r="AQ922" s="50"/>
      <c r="AR922" s="50"/>
      <c r="AS922" s="51"/>
      <c r="AT922" s="50"/>
      <c r="AU922" s="50"/>
      <c r="AV922" s="73"/>
      <c r="AW922" s="50"/>
      <c r="AX922" s="50"/>
    </row>
    <row r="923" spans="14:50" x14ac:dyDescent="0.3">
      <c r="N923" s="50"/>
      <c r="O923" s="50"/>
      <c r="P923" s="50"/>
      <c r="Q923" s="50"/>
      <c r="R923" s="50"/>
      <c r="S923" s="51"/>
      <c r="T923" s="50"/>
      <c r="U923" s="50"/>
      <c r="V923" s="73"/>
      <c r="W923" s="50"/>
      <c r="X923" s="50"/>
      <c r="AN923" s="50"/>
      <c r="AO923" s="50"/>
      <c r="AP923" s="50"/>
      <c r="AQ923" s="50"/>
      <c r="AR923" s="50"/>
      <c r="AS923" s="51"/>
      <c r="AT923" s="50"/>
      <c r="AU923" s="50"/>
      <c r="AV923" s="73"/>
      <c r="AW923" s="50"/>
      <c r="AX923" s="50"/>
    </row>
    <row r="924" spans="14:50" x14ac:dyDescent="0.3">
      <c r="N924" s="50"/>
      <c r="O924" s="50"/>
      <c r="P924" s="50"/>
      <c r="Q924" s="50"/>
      <c r="R924" s="50"/>
      <c r="S924" s="51"/>
      <c r="T924" s="50"/>
      <c r="U924" s="50"/>
      <c r="V924" s="73"/>
      <c r="W924" s="50"/>
      <c r="X924" s="50"/>
      <c r="AN924" s="50"/>
      <c r="AO924" s="50"/>
      <c r="AP924" s="50"/>
      <c r="AQ924" s="50"/>
      <c r="AR924" s="50"/>
      <c r="AS924" s="51"/>
      <c r="AT924" s="50"/>
      <c r="AU924" s="50"/>
      <c r="AV924" s="73"/>
      <c r="AW924" s="50"/>
      <c r="AX924" s="50"/>
    </row>
    <row r="925" spans="14:50" x14ac:dyDescent="0.3">
      <c r="N925" s="50"/>
      <c r="O925" s="50"/>
      <c r="P925" s="50"/>
      <c r="Q925" s="50"/>
      <c r="R925" s="50"/>
      <c r="S925" s="51"/>
      <c r="T925" s="50"/>
      <c r="U925" s="50"/>
      <c r="V925" s="73"/>
      <c r="W925" s="50"/>
      <c r="X925" s="50"/>
      <c r="AN925" s="50"/>
      <c r="AO925" s="50"/>
      <c r="AP925" s="50"/>
      <c r="AQ925" s="50"/>
      <c r="AR925" s="50"/>
      <c r="AS925" s="51"/>
      <c r="AT925" s="50"/>
      <c r="AU925" s="50"/>
      <c r="AV925" s="73"/>
      <c r="AW925" s="50"/>
      <c r="AX925" s="50"/>
    </row>
    <row r="926" spans="14:50" x14ac:dyDescent="0.3">
      <c r="N926" s="50"/>
      <c r="O926" s="50"/>
      <c r="P926" s="50"/>
      <c r="Q926" s="50"/>
      <c r="R926" s="50"/>
      <c r="S926" s="51"/>
      <c r="T926" s="50"/>
      <c r="U926" s="50"/>
      <c r="V926" s="73"/>
      <c r="W926" s="50"/>
      <c r="X926" s="50"/>
      <c r="AN926" s="50"/>
      <c r="AO926" s="50"/>
      <c r="AP926" s="50"/>
      <c r="AQ926" s="50"/>
      <c r="AR926" s="50"/>
      <c r="AS926" s="51"/>
      <c r="AT926" s="50"/>
      <c r="AU926" s="50"/>
      <c r="AV926" s="73"/>
      <c r="AW926" s="50"/>
      <c r="AX926" s="50"/>
    </row>
    <row r="927" spans="14:50" x14ac:dyDescent="0.3">
      <c r="N927" s="50"/>
      <c r="O927" s="50"/>
      <c r="P927" s="50"/>
      <c r="Q927" s="50"/>
      <c r="R927" s="50"/>
      <c r="S927" s="51"/>
      <c r="T927" s="50"/>
      <c r="U927" s="50"/>
      <c r="V927" s="73"/>
      <c r="W927" s="50"/>
      <c r="X927" s="50"/>
      <c r="AN927" s="50"/>
      <c r="AO927" s="50"/>
      <c r="AP927" s="50"/>
      <c r="AQ927" s="50"/>
      <c r="AR927" s="50"/>
      <c r="AS927" s="51"/>
      <c r="AT927" s="50"/>
      <c r="AU927" s="50"/>
      <c r="AV927" s="73"/>
      <c r="AW927" s="50"/>
      <c r="AX927" s="50"/>
    </row>
    <row r="928" spans="14:50" x14ac:dyDescent="0.3">
      <c r="N928" s="50"/>
      <c r="O928" s="50"/>
      <c r="P928" s="50"/>
      <c r="Q928" s="50"/>
      <c r="R928" s="50"/>
      <c r="S928" s="51"/>
      <c r="T928" s="50"/>
      <c r="U928" s="50"/>
      <c r="V928" s="73"/>
      <c r="W928" s="50"/>
      <c r="X928" s="50"/>
      <c r="AN928" s="50"/>
      <c r="AO928" s="50"/>
      <c r="AP928" s="50"/>
      <c r="AQ928" s="50"/>
      <c r="AR928" s="50"/>
      <c r="AS928" s="51"/>
      <c r="AT928" s="50"/>
      <c r="AU928" s="50"/>
      <c r="AV928" s="73"/>
      <c r="AW928" s="50"/>
      <c r="AX928" s="50"/>
    </row>
    <row r="929" spans="14:50" x14ac:dyDescent="0.3">
      <c r="N929" s="50"/>
      <c r="O929" s="50"/>
      <c r="P929" s="50"/>
      <c r="Q929" s="50"/>
      <c r="R929" s="50"/>
      <c r="S929" s="51"/>
      <c r="T929" s="50"/>
      <c r="U929" s="50"/>
      <c r="V929" s="73"/>
      <c r="W929" s="50"/>
      <c r="X929" s="50"/>
      <c r="AN929" s="50"/>
      <c r="AO929" s="50"/>
      <c r="AP929" s="50"/>
      <c r="AQ929" s="50"/>
      <c r="AR929" s="50"/>
      <c r="AS929" s="51"/>
      <c r="AT929" s="50"/>
      <c r="AU929" s="50"/>
      <c r="AV929" s="73"/>
      <c r="AW929" s="50"/>
      <c r="AX929" s="50"/>
    </row>
    <row r="930" spans="14:50" x14ac:dyDescent="0.3">
      <c r="N930" s="50"/>
      <c r="O930" s="50"/>
      <c r="P930" s="50"/>
      <c r="Q930" s="50"/>
      <c r="R930" s="50"/>
      <c r="S930" s="51"/>
      <c r="T930" s="50"/>
      <c r="U930" s="50"/>
      <c r="V930" s="73"/>
      <c r="W930" s="50"/>
      <c r="X930" s="50"/>
      <c r="AN930" s="50"/>
      <c r="AO930" s="50"/>
      <c r="AP930" s="50"/>
      <c r="AQ930" s="50"/>
      <c r="AR930" s="50"/>
      <c r="AS930" s="51"/>
      <c r="AT930" s="50"/>
      <c r="AU930" s="50"/>
      <c r="AV930" s="73"/>
      <c r="AW930" s="50"/>
      <c r="AX930" s="50"/>
    </row>
    <row r="931" spans="14:50" x14ac:dyDescent="0.3">
      <c r="N931" s="50"/>
      <c r="O931" s="50"/>
      <c r="P931" s="50"/>
      <c r="Q931" s="50"/>
      <c r="R931" s="50"/>
      <c r="S931" s="51"/>
      <c r="T931" s="50"/>
      <c r="U931" s="50"/>
      <c r="V931" s="73"/>
      <c r="W931" s="50"/>
      <c r="X931" s="50"/>
      <c r="AN931" s="50"/>
      <c r="AO931" s="50"/>
      <c r="AP931" s="50"/>
      <c r="AQ931" s="50"/>
      <c r="AR931" s="50"/>
      <c r="AS931" s="51"/>
      <c r="AT931" s="50"/>
      <c r="AU931" s="50"/>
      <c r="AV931" s="73"/>
      <c r="AW931" s="50"/>
      <c r="AX931" s="50"/>
    </row>
    <row r="932" spans="14:50" x14ac:dyDescent="0.3">
      <c r="N932" s="50"/>
      <c r="O932" s="50"/>
      <c r="P932" s="50"/>
      <c r="Q932" s="50"/>
      <c r="R932" s="50"/>
      <c r="S932" s="51"/>
      <c r="T932" s="50"/>
      <c r="U932" s="50"/>
      <c r="V932" s="73"/>
      <c r="W932" s="50"/>
      <c r="X932" s="50"/>
      <c r="AN932" s="50"/>
      <c r="AO932" s="50"/>
      <c r="AP932" s="50"/>
      <c r="AQ932" s="50"/>
      <c r="AR932" s="50"/>
      <c r="AS932" s="51"/>
      <c r="AT932" s="50"/>
      <c r="AU932" s="50"/>
      <c r="AV932" s="73"/>
      <c r="AW932" s="50"/>
      <c r="AX932" s="50"/>
    </row>
    <row r="933" spans="14:50" x14ac:dyDescent="0.3">
      <c r="N933" s="50"/>
      <c r="O933" s="50"/>
      <c r="P933" s="50"/>
      <c r="Q933" s="50"/>
      <c r="R933" s="50"/>
      <c r="S933" s="51"/>
      <c r="T933" s="50"/>
      <c r="U933" s="50"/>
      <c r="V933" s="73"/>
      <c r="W933" s="50"/>
      <c r="X933" s="50"/>
      <c r="AN933" s="50"/>
      <c r="AO933" s="50"/>
      <c r="AP933" s="50"/>
      <c r="AQ933" s="50"/>
      <c r="AR933" s="50"/>
      <c r="AS933" s="51"/>
      <c r="AT933" s="50"/>
      <c r="AU933" s="50"/>
      <c r="AV933" s="73"/>
      <c r="AW933" s="50"/>
      <c r="AX933" s="50"/>
    </row>
    <row r="934" spans="14:50" x14ac:dyDescent="0.3">
      <c r="N934" s="50"/>
      <c r="O934" s="50"/>
      <c r="P934" s="50"/>
      <c r="Q934" s="50"/>
      <c r="R934" s="50"/>
      <c r="S934" s="51"/>
      <c r="T934" s="50"/>
      <c r="U934" s="50"/>
      <c r="V934" s="73"/>
      <c r="W934" s="50"/>
      <c r="X934" s="50"/>
      <c r="AN934" s="50"/>
      <c r="AO934" s="50"/>
      <c r="AP934" s="50"/>
      <c r="AQ934" s="50"/>
      <c r="AR934" s="50"/>
      <c r="AS934" s="51"/>
      <c r="AT934" s="50"/>
      <c r="AU934" s="50"/>
      <c r="AV934" s="73"/>
      <c r="AW934" s="50"/>
      <c r="AX934" s="50"/>
    </row>
    <row r="935" spans="14:50" x14ac:dyDescent="0.3">
      <c r="N935" s="50"/>
      <c r="O935" s="50"/>
      <c r="P935" s="50"/>
      <c r="Q935" s="50"/>
      <c r="R935" s="50"/>
      <c r="S935" s="51"/>
      <c r="T935" s="50"/>
      <c r="U935" s="50"/>
      <c r="V935" s="73"/>
      <c r="W935" s="50"/>
      <c r="X935" s="50"/>
      <c r="AN935" s="50"/>
      <c r="AO935" s="50"/>
      <c r="AP935" s="50"/>
      <c r="AQ935" s="50"/>
      <c r="AR935" s="50"/>
      <c r="AS935" s="51"/>
      <c r="AT935" s="50"/>
      <c r="AU935" s="50"/>
      <c r="AV935" s="73"/>
      <c r="AW935" s="50"/>
      <c r="AX935" s="50"/>
    </row>
    <row r="936" spans="14:50" x14ac:dyDescent="0.3">
      <c r="N936" s="50"/>
      <c r="O936" s="50"/>
      <c r="P936" s="50"/>
      <c r="Q936" s="50"/>
      <c r="R936" s="50"/>
      <c r="S936" s="51"/>
      <c r="T936" s="50"/>
      <c r="U936" s="50"/>
      <c r="V936" s="73"/>
      <c r="W936" s="50"/>
      <c r="X936" s="50"/>
      <c r="AN936" s="50"/>
      <c r="AO936" s="50"/>
      <c r="AP936" s="50"/>
      <c r="AQ936" s="50"/>
      <c r="AR936" s="50"/>
      <c r="AS936" s="51"/>
      <c r="AT936" s="50"/>
      <c r="AU936" s="50"/>
      <c r="AV936" s="73"/>
      <c r="AW936" s="50"/>
      <c r="AX936" s="50"/>
    </row>
    <row r="937" spans="14:50" x14ac:dyDescent="0.3">
      <c r="N937" s="50"/>
      <c r="O937" s="50"/>
      <c r="P937" s="50"/>
      <c r="Q937" s="50"/>
      <c r="R937" s="50"/>
      <c r="S937" s="51"/>
      <c r="T937" s="50"/>
      <c r="U937" s="50"/>
      <c r="V937" s="73"/>
      <c r="W937" s="50"/>
      <c r="X937" s="50"/>
      <c r="AN937" s="50"/>
      <c r="AO937" s="50"/>
      <c r="AP937" s="50"/>
      <c r="AQ937" s="50"/>
      <c r="AR937" s="50"/>
      <c r="AS937" s="51"/>
      <c r="AT937" s="50"/>
      <c r="AU937" s="50"/>
      <c r="AV937" s="73"/>
      <c r="AW937" s="50"/>
      <c r="AX937" s="50"/>
    </row>
    <row r="938" spans="14:50" x14ac:dyDescent="0.3">
      <c r="N938" s="50"/>
      <c r="O938" s="50"/>
      <c r="P938" s="50"/>
      <c r="Q938" s="50"/>
      <c r="R938" s="50"/>
      <c r="S938" s="51"/>
      <c r="T938" s="50"/>
      <c r="U938" s="50"/>
      <c r="V938" s="73"/>
      <c r="W938" s="50"/>
      <c r="X938" s="50"/>
      <c r="AN938" s="50"/>
      <c r="AO938" s="50"/>
      <c r="AP938" s="50"/>
      <c r="AQ938" s="50"/>
      <c r="AR938" s="50"/>
      <c r="AS938" s="51"/>
      <c r="AT938" s="50"/>
      <c r="AU938" s="50"/>
      <c r="AV938" s="73"/>
      <c r="AW938" s="50"/>
      <c r="AX938" s="50"/>
    </row>
    <row r="939" spans="14:50" x14ac:dyDescent="0.3">
      <c r="N939" s="50"/>
      <c r="O939" s="50"/>
      <c r="P939" s="50"/>
      <c r="Q939" s="50"/>
      <c r="R939" s="50"/>
      <c r="S939" s="51"/>
      <c r="T939" s="50"/>
      <c r="U939" s="50"/>
      <c r="V939" s="73"/>
      <c r="W939" s="50"/>
      <c r="X939" s="50"/>
      <c r="AN939" s="50"/>
      <c r="AO939" s="50"/>
      <c r="AP939" s="50"/>
      <c r="AQ939" s="50"/>
      <c r="AR939" s="50"/>
      <c r="AS939" s="51"/>
      <c r="AT939" s="50"/>
      <c r="AU939" s="50"/>
      <c r="AV939" s="73"/>
      <c r="AW939" s="50"/>
      <c r="AX939" s="50"/>
    </row>
    <row r="940" spans="14:50" x14ac:dyDescent="0.3">
      <c r="N940" s="50"/>
      <c r="O940" s="50"/>
      <c r="P940" s="50"/>
      <c r="Q940" s="50"/>
      <c r="R940" s="50"/>
      <c r="S940" s="51"/>
      <c r="T940" s="50"/>
      <c r="U940" s="50"/>
      <c r="V940" s="73"/>
      <c r="W940" s="50"/>
      <c r="X940" s="50"/>
      <c r="AN940" s="50"/>
      <c r="AO940" s="50"/>
      <c r="AP940" s="50"/>
      <c r="AQ940" s="50"/>
      <c r="AR940" s="50"/>
      <c r="AS940" s="51"/>
      <c r="AT940" s="50"/>
      <c r="AU940" s="50"/>
      <c r="AV940" s="73"/>
      <c r="AW940" s="50"/>
      <c r="AX940" s="50"/>
    </row>
    <row r="941" spans="14:50" x14ac:dyDescent="0.3">
      <c r="N941" s="50"/>
      <c r="O941" s="50"/>
      <c r="P941" s="50"/>
      <c r="Q941" s="50"/>
      <c r="R941" s="50"/>
      <c r="S941" s="51"/>
      <c r="T941" s="50"/>
      <c r="U941" s="50"/>
      <c r="V941" s="73"/>
      <c r="W941" s="50"/>
      <c r="X941" s="50"/>
      <c r="AN941" s="50"/>
      <c r="AO941" s="50"/>
      <c r="AP941" s="50"/>
      <c r="AQ941" s="50"/>
      <c r="AR941" s="50"/>
      <c r="AS941" s="51"/>
      <c r="AT941" s="50"/>
      <c r="AU941" s="50"/>
      <c r="AV941" s="73"/>
      <c r="AW941" s="50"/>
      <c r="AX941" s="50"/>
    </row>
    <row r="942" spans="14:50" x14ac:dyDescent="0.3">
      <c r="N942" s="50"/>
      <c r="O942" s="50"/>
      <c r="P942" s="50"/>
      <c r="Q942" s="50"/>
      <c r="R942" s="50"/>
      <c r="S942" s="51"/>
      <c r="T942" s="50"/>
      <c r="U942" s="50"/>
      <c r="V942" s="73"/>
      <c r="W942" s="50"/>
      <c r="X942" s="50"/>
      <c r="AN942" s="50"/>
      <c r="AO942" s="50"/>
      <c r="AP942" s="50"/>
      <c r="AQ942" s="50"/>
      <c r="AR942" s="50"/>
      <c r="AS942" s="51"/>
      <c r="AT942" s="50"/>
      <c r="AU942" s="50"/>
      <c r="AV942" s="73"/>
      <c r="AW942" s="50"/>
      <c r="AX942" s="50"/>
    </row>
    <row r="943" spans="14:50" x14ac:dyDescent="0.3">
      <c r="N943" s="50"/>
      <c r="O943" s="50"/>
      <c r="P943" s="50"/>
      <c r="Q943" s="50"/>
      <c r="R943" s="50"/>
      <c r="S943" s="51"/>
      <c r="T943" s="50"/>
      <c r="U943" s="50"/>
      <c r="V943" s="73"/>
      <c r="W943" s="50"/>
      <c r="X943" s="50"/>
      <c r="AN943" s="50"/>
      <c r="AO943" s="50"/>
      <c r="AP943" s="50"/>
      <c r="AQ943" s="50"/>
      <c r="AR943" s="50"/>
      <c r="AS943" s="51"/>
      <c r="AT943" s="50"/>
      <c r="AU943" s="50"/>
      <c r="AV943" s="73"/>
      <c r="AW943" s="50"/>
      <c r="AX943" s="50"/>
    </row>
    <row r="944" spans="14:50" x14ac:dyDescent="0.3">
      <c r="N944" s="50"/>
      <c r="O944" s="50"/>
      <c r="P944" s="50"/>
      <c r="Q944" s="50"/>
      <c r="R944" s="50"/>
      <c r="S944" s="51"/>
      <c r="T944" s="50"/>
      <c r="U944" s="50"/>
      <c r="V944" s="73"/>
      <c r="W944" s="50"/>
      <c r="X944" s="50"/>
      <c r="AN944" s="50"/>
      <c r="AO944" s="50"/>
      <c r="AP944" s="50"/>
      <c r="AQ944" s="50"/>
      <c r="AR944" s="50"/>
      <c r="AS944" s="51"/>
      <c r="AT944" s="50"/>
      <c r="AU944" s="50"/>
      <c r="AV944" s="73"/>
      <c r="AW944" s="50"/>
      <c r="AX944" s="50"/>
    </row>
    <row r="945" spans="14:50" x14ac:dyDescent="0.3">
      <c r="N945" s="50"/>
      <c r="O945" s="50"/>
      <c r="P945" s="50"/>
      <c r="Q945" s="50"/>
      <c r="R945" s="50"/>
      <c r="S945" s="51"/>
      <c r="T945" s="50"/>
      <c r="U945" s="50"/>
      <c r="V945" s="73"/>
      <c r="W945" s="50"/>
      <c r="X945" s="50"/>
      <c r="AN945" s="50"/>
      <c r="AO945" s="50"/>
      <c r="AP945" s="50"/>
      <c r="AQ945" s="50"/>
      <c r="AR945" s="50"/>
      <c r="AS945" s="51"/>
      <c r="AT945" s="50"/>
      <c r="AU945" s="50"/>
      <c r="AV945" s="73"/>
      <c r="AW945" s="50"/>
      <c r="AX945" s="50"/>
    </row>
    <row r="946" spans="14:50" x14ac:dyDescent="0.3">
      <c r="N946" s="50"/>
      <c r="O946" s="50"/>
      <c r="P946" s="50"/>
      <c r="Q946" s="50"/>
      <c r="R946" s="50"/>
      <c r="S946" s="51"/>
      <c r="T946" s="50"/>
      <c r="U946" s="50"/>
      <c r="V946" s="73"/>
      <c r="W946" s="50"/>
      <c r="X946" s="50"/>
      <c r="AN946" s="50"/>
      <c r="AO946" s="50"/>
      <c r="AP946" s="50"/>
      <c r="AQ946" s="50"/>
      <c r="AR946" s="50"/>
      <c r="AS946" s="51"/>
      <c r="AT946" s="50"/>
      <c r="AU946" s="50"/>
      <c r="AV946" s="73"/>
      <c r="AW946" s="50"/>
      <c r="AX946" s="50"/>
    </row>
    <row r="947" spans="14:50" x14ac:dyDescent="0.3">
      <c r="N947" s="50"/>
      <c r="O947" s="50"/>
      <c r="P947" s="50"/>
      <c r="Q947" s="50"/>
      <c r="R947" s="50"/>
      <c r="S947" s="51"/>
      <c r="T947" s="50"/>
      <c r="U947" s="50"/>
      <c r="V947" s="73"/>
      <c r="W947" s="50"/>
      <c r="X947" s="50"/>
      <c r="AN947" s="50"/>
      <c r="AO947" s="50"/>
      <c r="AP947" s="50"/>
      <c r="AQ947" s="50"/>
      <c r="AR947" s="50"/>
      <c r="AS947" s="51"/>
      <c r="AT947" s="50"/>
      <c r="AU947" s="50"/>
      <c r="AV947" s="73"/>
      <c r="AW947" s="50"/>
      <c r="AX947" s="50"/>
    </row>
    <row r="948" spans="14:50" x14ac:dyDescent="0.3">
      <c r="N948" s="50"/>
      <c r="O948" s="50"/>
      <c r="P948" s="50"/>
      <c r="Q948" s="50"/>
      <c r="R948" s="50"/>
      <c r="S948" s="51"/>
      <c r="T948" s="50"/>
      <c r="U948" s="50"/>
      <c r="V948" s="73"/>
      <c r="W948" s="50"/>
      <c r="X948" s="50"/>
      <c r="AN948" s="50"/>
      <c r="AO948" s="50"/>
      <c r="AP948" s="50"/>
      <c r="AQ948" s="50"/>
      <c r="AR948" s="50"/>
      <c r="AS948" s="51"/>
      <c r="AT948" s="50"/>
      <c r="AU948" s="50"/>
      <c r="AV948" s="73"/>
      <c r="AW948" s="50"/>
      <c r="AX948" s="50"/>
    </row>
    <row r="949" spans="14:50" x14ac:dyDescent="0.3">
      <c r="N949" s="50"/>
      <c r="O949" s="50"/>
      <c r="P949" s="50"/>
      <c r="Q949" s="50"/>
      <c r="R949" s="50"/>
      <c r="S949" s="51"/>
      <c r="T949" s="50"/>
      <c r="U949" s="50"/>
      <c r="V949" s="73"/>
      <c r="W949" s="50"/>
      <c r="X949" s="50"/>
      <c r="AN949" s="50"/>
      <c r="AO949" s="50"/>
      <c r="AP949" s="50"/>
      <c r="AQ949" s="50"/>
      <c r="AR949" s="50"/>
      <c r="AS949" s="51"/>
      <c r="AT949" s="50"/>
      <c r="AU949" s="50"/>
      <c r="AV949" s="73"/>
      <c r="AW949" s="50"/>
      <c r="AX949" s="50"/>
    </row>
    <row r="950" spans="14:50" x14ac:dyDescent="0.3">
      <c r="N950" s="50"/>
      <c r="O950" s="50"/>
      <c r="P950" s="50"/>
      <c r="Q950" s="50"/>
      <c r="R950" s="50"/>
      <c r="S950" s="51"/>
      <c r="T950" s="50"/>
      <c r="U950" s="50"/>
      <c r="V950" s="73"/>
      <c r="W950" s="50"/>
      <c r="X950" s="50"/>
      <c r="AN950" s="50"/>
      <c r="AO950" s="50"/>
      <c r="AP950" s="50"/>
      <c r="AQ950" s="50"/>
      <c r="AR950" s="50"/>
      <c r="AS950" s="51"/>
      <c r="AT950" s="50"/>
      <c r="AU950" s="50"/>
      <c r="AV950" s="73"/>
      <c r="AW950" s="50"/>
      <c r="AX950" s="50"/>
    </row>
    <row r="951" spans="14:50" x14ac:dyDescent="0.3">
      <c r="N951" s="50"/>
      <c r="O951" s="50"/>
      <c r="P951" s="50"/>
      <c r="Q951" s="50"/>
      <c r="R951" s="50"/>
      <c r="S951" s="51"/>
      <c r="T951" s="50"/>
      <c r="U951" s="50"/>
      <c r="V951" s="73"/>
      <c r="W951" s="50"/>
      <c r="X951" s="50"/>
      <c r="AN951" s="50"/>
      <c r="AO951" s="50"/>
      <c r="AP951" s="50"/>
      <c r="AQ951" s="50"/>
      <c r="AR951" s="50"/>
      <c r="AS951" s="51"/>
      <c r="AT951" s="50"/>
      <c r="AU951" s="50"/>
      <c r="AV951" s="73"/>
      <c r="AW951" s="50"/>
      <c r="AX951" s="50"/>
    </row>
    <row r="952" spans="14:50" x14ac:dyDescent="0.3">
      <c r="N952" s="50"/>
      <c r="O952" s="50"/>
      <c r="P952" s="50"/>
      <c r="Q952" s="50"/>
      <c r="R952" s="50"/>
      <c r="S952" s="51"/>
      <c r="T952" s="50"/>
      <c r="U952" s="50"/>
      <c r="V952" s="73"/>
      <c r="W952" s="50"/>
      <c r="X952" s="50"/>
      <c r="AN952" s="50"/>
      <c r="AO952" s="50"/>
      <c r="AP952" s="50"/>
      <c r="AQ952" s="50"/>
      <c r="AR952" s="50"/>
      <c r="AS952" s="51"/>
      <c r="AT952" s="50"/>
      <c r="AU952" s="50"/>
      <c r="AV952" s="73"/>
      <c r="AW952" s="50"/>
      <c r="AX952" s="50"/>
    </row>
    <row r="953" spans="14:50" x14ac:dyDescent="0.3">
      <c r="N953" s="50"/>
      <c r="O953" s="50"/>
      <c r="P953" s="50"/>
      <c r="Q953" s="50"/>
      <c r="R953" s="50"/>
      <c r="S953" s="51"/>
      <c r="T953" s="50"/>
      <c r="U953" s="50"/>
      <c r="V953" s="73"/>
      <c r="W953" s="50"/>
      <c r="X953" s="50"/>
      <c r="AN953" s="50"/>
      <c r="AO953" s="50"/>
      <c r="AP953" s="50"/>
      <c r="AQ953" s="50"/>
      <c r="AR953" s="50"/>
      <c r="AS953" s="51"/>
      <c r="AT953" s="50"/>
      <c r="AU953" s="50"/>
      <c r="AV953" s="73"/>
      <c r="AW953" s="50"/>
      <c r="AX953" s="50"/>
    </row>
    <row r="954" spans="14:50" x14ac:dyDescent="0.3">
      <c r="N954" s="50"/>
      <c r="O954" s="50"/>
      <c r="P954" s="50"/>
      <c r="Q954" s="50"/>
      <c r="R954" s="50"/>
      <c r="S954" s="51"/>
      <c r="T954" s="50"/>
      <c r="U954" s="50"/>
      <c r="V954" s="73"/>
      <c r="W954" s="50"/>
      <c r="X954" s="50"/>
      <c r="AN954" s="50"/>
      <c r="AO954" s="50"/>
      <c r="AP954" s="50"/>
      <c r="AQ954" s="50"/>
      <c r="AR954" s="50"/>
      <c r="AS954" s="51"/>
      <c r="AT954" s="50"/>
      <c r="AU954" s="50"/>
      <c r="AV954" s="73"/>
      <c r="AW954" s="50"/>
      <c r="AX954" s="50"/>
    </row>
    <row r="955" spans="14:50" x14ac:dyDescent="0.3">
      <c r="N955" s="50"/>
      <c r="O955" s="50"/>
      <c r="P955" s="50"/>
      <c r="Q955" s="50"/>
      <c r="R955" s="50"/>
      <c r="S955" s="51"/>
      <c r="T955" s="50"/>
      <c r="U955" s="50"/>
      <c r="V955" s="73"/>
      <c r="W955" s="50"/>
      <c r="X955" s="50"/>
      <c r="AN955" s="50"/>
      <c r="AO955" s="50"/>
      <c r="AP955" s="50"/>
      <c r="AQ955" s="50"/>
      <c r="AR955" s="50"/>
      <c r="AS955" s="51"/>
      <c r="AT955" s="50"/>
      <c r="AU955" s="50"/>
      <c r="AV955" s="73"/>
      <c r="AW955" s="50"/>
      <c r="AX955" s="50"/>
    </row>
    <row r="956" spans="14:50" x14ac:dyDescent="0.3">
      <c r="N956" s="50"/>
      <c r="O956" s="50"/>
      <c r="P956" s="50"/>
      <c r="Q956" s="50"/>
      <c r="R956" s="50"/>
      <c r="S956" s="51"/>
      <c r="T956" s="50"/>
      <c r="U956" s="50"/>
      <c r="V956" s="73"/>
      <c r="W956" s="50"/>
      <c r="X956" s="50"/>
      <c r="AN956" s="50"/>
      <c r="AO956" s="50"/>
      <c r="AP956" s="50"/>
      <c r="AQ956" s="50"/>
      <c r="AR956" s="50"/>
      <c r="AS956" s="51"/>
      <c r="AT956" s="50"/>
      <c r="AU956" s="50"/>
      <c r="AV956" s="73"/>
      <c r="AW956" s="50"/>
      <c r="AX956" s="50"/>
    </row>
    <row r="957" spans="14:50" x14ac:dyDescent="0.3">
      <c r="N957" s="50"/>
      <c r="O957" s="50"/>
      <c r="P957" s="50"/>
      <c r="Q957" s="50"/>
      <c r="R957" s="50"/>
      <c r="S957" s="51"/>
      <c r="T957" s="50"/>
      <c r="U957" s="50"/>
      <c r="V957" s="73"/>
      <c r="W957" s="50"/>
      <c r="X957" s="50"/>
      <c r="AN957" s="50"/>
      <c r="AO957" s="50"/>
      <c r="AP957" s="50"/>
      <c r="AQ957" s="50"/>
      <c r="AR957" s="50"/>
      <c r="AS957" s="51"/>
      <c r="AT957" s="50"/>
      <c r="AU957" s="50"/>
      <c r="AV957" s="73"/>
      <c r="AW957" s="50"/>
      <c r="AX957" s="50"/>
    </row>
    <row r="958" spans="14:50" x14ac:dyDescent="0.3">
      <c r="N958" s="50"/>
      <c r="O958" s="50"/>
      <c r="P958" s="50"/>
      <c r="Q958" s="50"/>
      <c r="R958" s="50"/>
      <c r="S958" s="51"/>
      <c r="T958" s="50"/>
      <c r="U958" s="50"/>
      <c r="V958" s="73"/>
      <c r="W958" s="50"/>
      <c r="X958" s="50"/>
      <c r="AN958" s="50"/>
      <c r="AO958" s="50"/>
      <c r="AP958" s="50"/>
      <c r="AQ958" s="50"/>
      <c r="AR958" s="50"/>
      <c r="AS958" s="51"/>
      <c r="AT958" s="50"/>
      <c r="AU958" s="50"/>
      <c r="AV958" s="73"/>
      <c r="AW958" s="50"/>
      <c r="AX958" s="50"/>
    </row>
    <row r="959" spans="14:50" x14ac:dyDescent="0.3">
      <c r="N959" s="50"/>
      <c r="O959" s="50"/>
      <c r="P959" s="50"/>
      <c r="Q959" s="50"/>
      <c r="R959" s="50"/>
      <c r="S959" s="51"/>
      <c r="T959" s="50"/>
      <c r="U959" s="50"/>
      <c r="V959" s="73"/>
      <c r="W959" s="50"/>
      <c r="X959" s="50"/>
      <c r="AN959" s="50"/>
      <c r="AO959" s="50"/>
      <c r="AP959" s="50"/>
      <c r="AQ959" s="50"/>
      <c r="AR959" s="50"/>
      <c r="AS959" s="51"/>
      <c r="AT959" s="50"/>
      <c r="AU959" s="50"/>
      <c r="AV959" s="73"/>
      <c r="AW959" s="50"/>
      <c r="AX959" s="50"/>
    </row>
    <row r="960" spans="14:50" x14ac:dyDescent="0.3">
      <c r="N960" s="50"/>
      <c r="O960" s="50"/>
      <c r="P960" s="50"/>
      <c r="Q960" s="50"/>
      <c r="R960" s="50"/>
      <c r="S960" s="51"/>
      <c r="T960" s="50"/>
      <c r="U960" s="50"/>
      <c r="V960" s="73"/>
      <c r="W960" s="50"/>
      <c r="X960" s="50"/>
      <c r="AN960" s="50"/>
      <c r="AO960" s="50"/>
      <c r="AP960" s="50"/>
      <c r="AQ960" s="50"/>
      <c r="AR960" s="50"/>
      <c r="AS960" s="51"/>
      <c r="AT960" s="50"/>
      <c r="AU960" s="50"/>
      <c r="AV960" s="73"/>
      <c r="AW960" s="50"/>
      <c r="AX960" s="50"/>
    </row>
    <row r="961" spans="14:50" x14ac:dyDescent="0.3">
      <c r="N961" s="50"/>
      <c r="O961" s="50"/>
      <c r="P961" s="50"/>
      <c r="Q961" s="50"/>
      <c r="R961" s="50"/>
      <c r="S961" s="51"/>
      <c r="T961" s="50"/>
      <c r="U961" s="50"/>
      <c r="V961" s="73"/>
      <c r="W961" s="50"/>
      <c r="X961" s="50"/>
      <c r="AN961" s="50"/>
      <c r="AO961" s="50"/>
      <c r="AP961" s="50"/>
      <c r="AQ961" s="50"/>
      <c r="AR961" s="50"/>
      <c r="AS961" s="51"/>
      <c r="AT961" s="50"/>
      <c r="AU961" s="50"/>
      <c r="AV961" s="73"/>
      <c r="AW961" s="50"/>
      <c r="AX961" s="50"/>
    </row>
    <row r="962" spans="14:50" x14ac:dyDescent="0.3">
      <c r="N962" s="50"/>
      <c r="O962" s="50"/>
      <c r="P962" s="50"/>
      <c r="Q962" s="50"/>
      <c r="R962" s="50"/>
      <c r="S962" s="51"/>
      <c r="T962" s="50"/>
      <c r="U962" s="50"/>
      <c r="V962" s="73"/>
      <c r="W962" s="50"/>
      <c r="X962" s="50"/>
      <c r="AN962" s="50"/>
      <c r="AO962" s="50"/>
      <c r="AP962" s="50"/>
      <c r="AQ962" s="50"/>
      <c r="AR962" s="50"/>
      <c r="AS962" s="51"/>
      <c r="AT962" s="50"/>
      <c r="AU962" s="50"/>
      <c r="AV962" s="73"/>
      <c r="AW962" s="50"/>
      <c r="AX962" s="50"/>
    </row>
    <row r="963" spans="14:50" x14ac:dyDescent="0.3">
      <c r="N963" s="50"/>
      <c r="O963" s="50"/>
      <c r="P963" s="50"/>
      <c r="Q963" s="50"/>
      <c r="R963" s="50"/>
      <c r="S963" s="51"/>
      <c r="T963" s="50"/>
      <c r="U963" s="50"/>
      <c r="V963" s="73"/>
      <c r="W963" s="50"/>
      <c r="X963" s="50"/>
      <c r="AN963" s="50"/>
      <c r="AO963" s="50"/>
      <c r="AP963" s="50"/>
      <c r="AQ963" s="50"/>
      <c r="AR963" s="50"/>
      <c r="AS963" s="51"/>
      <c r="AT963" s="50"/>
      <c r="AU963" s="50"/>
      <c r="AV963" s="73"/>
      <c r="AW963" s="50"/>
      <c r="AX963" s="50"/>
    </row>
    <row r="964" spans="14:50" x14ac:dyDescent="0.3">
      <c r="N964" s="50"/>
      <c r="O964" s="50"/>
      <c r="P964" s="50"/>
      <c r="Q964" s="50"/>
      <c r="R964" s="50"/>
      <c r="S964" s="51"/>
      <c r="T964" s="50"/>
      <c r="U964" s="50"/>
      <c r="V964" s="73"/>
      <c r="W964" s="50"/>
      <c r="X964" s="50"/>
      <c r="AN964" s="50"/>
      <c r="AO964" s="50"/>
      <c r="AP964" s="50"/>
      <c r="AQ964" s="50"/>
      <c r="AR964" s="50"/>
      <c r="AS964" s="51"/>
      <c r="AT964" s="50"/>
      <c r="AU964" s="50"/>
      <c r="AV964" s="73"/>
      <c r="AW964" s="50"/>
      <c r="AX964" s="50"/>
    </row>
    <row r="965" spans="14:50" x14ac:dyDescent="0.3">
      <c r="N965" s="50"/>
      <c r="O965" s="50"/>
      <c r="P965" s="50"/>
      <c r="Q965" s="50"/>
      <c r="R965" s="50"/>
      <c r="S965" s="51"/>
      <c r="T965" s="50"/>
      <c r="U965" s="50"/>
      <c r="V965" s="73"/>
      <c r="W965" s="50"/>
      <c r="X965" s="50"/>
      <c r="AN965" s="50"/>
      <c r="AO965" s="50"/>
      <c r="AP965" s="50"/>
      <c r="AQ965" s="50"/>
      <c r="AR965" s="50"/>
      <c r="AS965" s="51"/>
      <c r="AT965" s="50"/>
      <c r="AU965" s="50"/>
      <c r="AV965" s="73"/>
      <c r="AW965" s="50"/>
      <c r="AX965" s="50"/>
    </row>
    <row r="966" spans="14:50" x14ac:dyDescent="0.3">
      <c r="N966" s="50"/>
      <c r="O966" s="50"/>
      <c r="P966" s="50"/>
      <c r="Q966" s="50"/>
      <c r="R966" s="50"/>
      <c r="S966" s="51"/>
      <c r="T966" s="50"/>
      <c r="U966" s="50"/>
      <c r="V966" s="73"/>
      <c r="W966" s="50"/>
      <c r="X966" s="50"/>
      <c r="AN966" s="50"/>
      <c r="AO966" s="50"/>
      <c r="AP966" s="50"/>
      <c r="AQ966" s="50"/>
      <c r="AR966" s="50"/>
      <c r="AS966" s="51"/>
      <c r="AT966" s="50"/>
      <c r="AU966" s="50"/>
      <c r="AV966" s="73"/>
      <c r="AW966" s="50"/>
      <c r="AX966" s="50"/>
    </row>
    <row r="967" spans="14:50" x14ac:dyDescent="0.3">
      <c r="N967" s="50"/>
      <c r="O967" s="50"/>
      <c r="P967" s="50"/>
      <c r="Q967" s="50"/>
      <c r="R967" s="50"/>
      <c r="S967" s="51"/>
      <c r="T967" s="50"/>
      <c r="U967" s="50"/>
      <c r="V967" s="73"/>
      <c r="W967" s="50"/>
      <c r="X967" s="50"/>
      <c r="AN967" s="50"/>
      <c r="AO967" s="50"/>
      <c r="AP967" s="50"/>
      <c r="AQ967" s="50"/>
      <c r="AR967" s="50"/>
      <c r="AS967" s="51"/>
      <c r="AT967" s="50"/>
      <c r="AU967" s="50"/>
      <c r="AV967" s="73"/>
      <c r="AW967" s="50"/>
      <c r="AX967" s="50"/>
    </row>
    <row r="968" spans="14:50" x14ac:dyDescent="0.3">
      <c r="N968" s="50"/>
      <c r="O968" s="50"/>
      <c r="P968" s="50"/>
      <c r="Q968" s="50"/>
      <c r="R968" s="50"/>
      <c r="S968" s="51"/>
      <c r="T968" s="50"/>
      <c r="U968" s="50"/>
      <c r="V968" s="73"/>
      <c r="W968" s="50"/>
      <c r="X968" s="50"/>
      <c r="AN968" s="50"/>
      <c r="AO968" s="50"/>
      <c r="AP968" s="50"/>
      <c r="AQ968" s="50"/>
      <c r="AR968" s="50"/>
      <c r="AS968" s="51"/>
      <c r="AT968" s="50"/>
      <c r="AU968" s="50"/>
      <c r="AV968" s="73"/>
      <c r="AW968" s="50"/>
      <c r="AX968" s="50"/>
    </row>
    <row r="969" spans="14:50" x14ac:dyDescent="0.3">
      <c r="N969" s="50"/>
      <c r="O969" s="50"/>
      <c r="P969" s="50"/>
      <c r="Q969" s="50"/>
      <c r="R969" s="50"/>
      <c r="S969" s="51"/>
      <c r="T969" s="50"/>
      <c r="U969" s="50"/>
      <c r="V969" s="73"/>
      <c r="W969" s="50"/>
      <c r="X969" s="50"/>
      <c r="AN969" s="50"/>
      <c r="AO969" s="50"/>
      <c r="AP969" s="50"/>
      <c r="AQ969" s="50"/>
      <c r="AR969" s="50"/>
      <c r="AS969" s="51"/>
      <c r="AT969" s="50"/>
      <c r="AU969" s="50"/>
      <c r="AV969" s="73"/>
      <c r="AW969" s="50"/>
      <c r="AX969" s="50"/>
    </row>
    <row r="970" spans="14:50" x14ac:dyDescent="0.3">
      <c r="N970" s="50"/>
      <c r="O970" s="50"/>
      <c r="P970" s="50"/>
      <c r="Q970" s="50"/>
      <c r="R970" s="50"/>
      <c r="S970" s="51"/>
      <c r="T970" s="50"/>
      <c r="U970" s="50"/>
      <c r="V970" s="73"/>
      <c r="W970" s="50"/>
      <c r="X970" s="50"/>
      <c r="AN970" s="50"/>
      <c r="AO970" s="50"/>
      <c r="AP970" s="50"/>
      <c r="AQ970" s="50"/>
      <c r="AR970" s="50"/>
      <c r="AS970" s="51"/>
      <c r="AT970" s="50"/>
      <c r="AU970" s="50"/>
      <c r="AV970" s="73"/>
      <c r="AW970" s="50"/>
      <c r="AX970" s="50"/>
    </row>
    <row r="971" spans="14:50" x14ac:dyDescent="0.3">
      <c r="N971" s="50"/>
      <c r="O971" s="50"/>
      <c r="P971" s="50"/>
      <c r="Q971" s="50"/>
      <c r="R971" s="50"/>
      <c r="S971" s="51"/>
      <c r="T971" s="50"/>
      <c r="U971" s="50"/>
      <c r="V971" s="73"/>
      <c r="W971" s="50"/>
      <c r="X971" s="50"/>
      <c r="AN971" s="50"/>
      <c r="AO971" s="50"/>
      <c r="AP971" s="50"/>
      <c r="AQ971" s="50"/>
      <c r="AR971" s="50"/>
      <c r="AS971" s="51"/>
      <c r="AT971" s="50"/>
      <c r="AU971" s="50"/>
      <c r="AV971" s="73"/>
      <c r="AW971" s="50"/>
      <c r="AX971" s="50"/>
    </row>
    <row r="972" spans="14:50" x14ac:dyDescent="0.3">
      <c r="N972" s="50"/>
      <c r="O972" s="50"/>
      <c r="P972" s="50"/>
      <c r="Q972" s="50"/>
      <c r="R972" s="50"/>
      <c r="S972" s="51"/>
      <c r="T972" s="50"/>
      <c r="U972" s="50"/>
      <c r="V972" s="73"/>
      <c r="W972" s="50"/>
      <c r="X972" s="50"/>
      <c r="AN972" s="50"/>
      <c r="AO972" s="50"/>
      <c r="AP972" s="50"/>
      <c r="AQ972" s="50"/>
      <c r="AR972" s="50"/>
      <c r="AS972" s="51"/>
      <c r="AT972" s="50"/>
      <c r="AU972" s="50"/>
      <c r="AV972" s="73"/>
      <c r="AW972" s="50"/>
      <c r="AX972" s="50"/>
    </row>
    <row r="973" spans="14:50" x14ac:dyDescent="0.3">
      <c r="N973" s="50"/>
      <c r="O973" s="50"/>
      <c r="P973" s="50"/>
      <c r="Q973" s="50"/>
      <c r="R973" s="50"/>
      <c r="S973" s="51"/>
      <c r="T973" s="50"/>
      <c r="U973" s="50"/>
      <c r="V973" s="73"/>
      <c r="W973" s="50"/>
      <c r="X973" s="50"/>
      <c r="AN973" s="50"/>
      <c r="AO973" s="50"/>
      <c r="AP973" s="50"/>
      <c r="AQ973" s="50"/>
      <c r="AR973" s="50"/>
      <c r="AS973" s="51"/>
      <c r="AT973" s="50"/>
      <c r="AU973" s="50"/>
      <c r="AV973" s="73"/>
      <c r="AW973" s="50"/>
      <c r="AX973" s="50"/>
    </row>
    <row r="974" spans="14:50" x14ac:dyDescent="0.3">
      <c r="N974" s="50"/>
      <c r="O974" s="50"/>
      <c r="P974" s="50"/>
      <c r="Q974" s="50"/>
      <c r="R974" s="50"/>
      <c r="S974" s="51"/>
      <c r="T974" s="50"/>
      <c r="U974" s="50"/>
      <c r="V974" s="73"/>
      <c r="W974" s="50"/>
      <c r="X974" s="50"/>
      <c r="AN974" s="50"/>
      <c r="AO974" s="50"/>
      <c r="AP974" s="50"/>
      <c r="AQ974" s="50"/>
      <c r="AR974" s="50"/>
      <c r="AS974" s="51"/>
      <c r="AT974" s="50"/>
      <c r="AU974" s="50"/>
      <c r="AV974" s="73"/>
      <c r="AW974" s="50"/>
      <c r="AX974" s="50"/>
    </row>
    <row r="975" spans="14:50" x14ac:dyDescent="0.3">
      <c r="N975" s="50"/>
      <c r="O975" s="50"/>
      <c r="P975" s="50"/>
      <c r="Q975" s="50"/>
      <c r="R975" s="50"/>
      <c r="S975" s="51"/>
      <c r="T975" s="50"/>
      <c r="U975" s="50"/>
      <c r="V975" s="73"/>
      <c r="W975" s="50"/>
      <c r="X975" s="50"/>
      <c r="AN975" s="50"/>
      <c r="AO975" s="50"/>
      <c r="AP975" s="50"/>
      <c r="AQ975" s="50"/>
      <c r="AR975" s="50"/>
      <c r="AS975" s="51"/>
      <c r="AT975" s="50"/>
      <c r="AU975" s="50"/>
      <c r="AV975" s="73"/>
      <c r="AW975" s="50"/>
      <c r="AX975" s="50"/>
    </row>
    <row r="976" spans="14:50" x14ac:dyDescent="0.3">
      <c r="N976" s="50"/>
      <c r="O976" s="50"/>
      <c r="P976" s="50"/>
      <c r="Q976" s="50"/>
      <c r="R976" s="50"/>
      <c r="S976" s="51"/>
      <c r="T976" s="50"/>
      <c r="U976" s="50"/>
      <c r="V976" s="73"/>
      <c r="W976" s="50"/>
      <c r="X976" s="50"/>
      <c r="AN976" s="50"/>
      <c r="AO976" s="50"/>
      <c r="AP976" s="50"/>
      <c r="AQ976" s="50"/>
      <c r="AR976" s="50"/>
      <c r="AS976" s="51"/>
      <c r="AT976" s="50"/>
      <c r="AU976" s="50"/>
      <c r="AV976" s="73"/>
      <c r="AW976" s="50"/>
      <c r="AX976" s="50"/>
    </row>
    <row r="977" spans="14:50" x14ac:dyDescent="0.3">
      <c r="N977" s="50"/>
      <c r="O977" s="50"/>
      <c r="P977" s="50"/>
      <c r="Q977" s="50"/>
      <c r="R977" s="50"/>
      <c r="S977" s="51"/>
      <c r="T977" s="50"/>
      <c r="U977" s="50"/>
      <c r="V977" s="73"/>
      <c r="W977" s="50"/>
      <c r="X977" s="50"/>
      <c r="AN977" s="50"/>
      <c r="AO977" s="50"/>
      <c r="AP977" s="50"/>
      <c r="AQ977" s="50"/>
      <c r="AR977" s="50"/>
      <c r="AS977" s="51"/>
      <c r="AT977" s="50"/>
      <c r="AU977" s="50"/>
      <c r="AV977" s="73"/>
      <c r="AW977" s="50"/>
      <c r="AX977" s="50"/>
    </row>
    <row r="978" spans="14:50" x14ac:dyDescent="0.3">
      <c r="N978" s="50"/>
      <c r="O978" s="50"/>
      <c r="P978" s="50"/>
      <c r="Q978" s="50"/>
      <c r="R978" s="50"/>
      <c r="S978" s="51"/>
      <c r="T978" s="50"/>
      <c r="U978" s="50"/>
      <c r="V978" s="73"/>
      <c r="W978" s="50"/>
      <c r="X978" s="50"/>
      <c r="AN978" s="50"/>
      <c r="AO978" s="50"/>
      <c r="AP978" s="50"/>
      <c r="AQ978" s="50"/>
      <c r="AR978" s="50"/>
      <c r="AS978" s="51"/>
      <c r="AT978" s="50"/>
      <c r="AU978" s="50"/>
      <c r="AV978" s="73"/>
      <c r="AW978" s="50"/>
      <c r="AX978" s="50"/>
    </row>
    <row r="979" spans="14:50" x14ac:dyDescent="0.3">
      <c r="N979" s="50"/>
      <c r="O979" s="50"/>
      <c r="P979" s="50"/>
      <c r="Q979" s="50"/>
      <c r="R979" s="50"/>
      <c r="S979" s="51"/>
      <c r="T979" s="50"/>
      <c r="U979" s="50"/>
      <c r="V979" s="73"/>
      <c r="W979" s="50"/>
      <c r="X979" s="50"/>
      <c r="AN979" s="50"/>
      <c r="AO979" s="50"/>
      <c r="AP979" s="50"/>
      <c r="AQ979" s="50"/>
      <c r="AR979" s="50"/>
      <c r="AS979" s="51"/>
      <c r="AT979" s="50"/>
      <c r="AU979" s="50"/>
      <c r="AV979" s="73"/>
      <c r="AW979" s="50"/>
      <c r="AX979" s="50"/>
    </row>
    <row r="980" spans="14:50" x14ac:dyDescent="0.3">
      <c r="N980" s="50"/>
      <c r="O980" s="50"/>
      <c r="P980" s="50"/>
      <c r="Q980" s="50"/>
      <c r="R980" s="50"/>
      <c r="S980" s="51"/>
      <c r="T980" s="50"/>
      <c r="U980" s="50"/>
      <c r="V980" s="73"/>
      <c r="W980" s="50"/>
      <c r="X980" s="50"/>
      <c r="AN980" s="50"/>
      <c r="AO980" s="50"/>
      <c r="AP980" s="50"/>
      <c r="AQ980" s="50"/>
      <c r="AR980" s="50"/>
      <c r="AS980" s="51"/>
      <c r="AT980" s="50"/>
      <c r="AU980" s="50"/>
      <c r="AV980" s="73"/>
      <c r="AW980" s="50"/>
      <c r="AX980" s="50"/>
    </row>
    <row r="981" spans="14:50" x14ac:dyDescent="0.3">
      <c r="N981" s="50"/>
      <c r="O981" s="50"/>
      <c r="P981" s="50"/>
      <c r="Q981" s="50"/>
      <c r="R981" s="50"/>
      <c r="S981" s="51"/>
      <c r="T981" s="50"/>
      <c r="U981" s="50"/>
      <c r="V981" s="73"/>
      <c r="W981" s="50"/>
      <c r="X981" s="50"/>
      <c r="AN981" s="50"/>
      <c r="AO981" s="50"/>
      <c r="AP981" s="50"/>
      <c r="AQ981" s="50"/>
      <c r="AR981" s="50"/>
      <c r="AS981" s="51"/>
      <c r="AT981" s="50"/>
      <c r="AU981" s="50"/>
      <c r="AV981" s="73"/>
      <c r="AW981" s="50"/>
      <c r="AX981" s="50"/>
    </row>
    <row r="982" spans="14:50" x14ac:dyDescent="0.3">
      <c r="N982" s="50"/>
      <c r="O982" s="50"/>
      <c r="P982" s="50"/>
      <c r="Q982" s="50"/>
      <c r="R982" s="50"/>
      <c r="S982" s="51"/>
      <c r="T982" s="50"/>
      <c r="U982" s="50"/>
      <c r="V982" s="73"/>
      <c r="W982" s="50"/>
      <c r="X982" s="50"/>
      <c r="AN982" s="50"/>
      <c r="AO982" s="50"/>
      <c r="AP982" s="50"/>
      <c r="AQ982" s="50"/>
      <c r="AR982" s="50"/>
      <c r="AS982" s="51"/>
      <c r="AT982" s="50"/>
      <c r="AU982" s="50"/>
      <c r="AV982" s="73"/>
      <c r="AW982" s="50"/>
      <c r="AX982" s="50"/>
    </row>
    <row r="983" spans="14:50" x14ac:dyDescent="0.3">
      <c r="N983" s="50"/>
      <c r="O983" s="50"/>
      <c r="P983" s="50"/>
      <c r="Q983" s="50"/>
      <c r="R983" s="50"/>
      <c r="S983" s="51"/>
      <c r="T983" s="50"/>
      <c r="U983" s="50"/>
      <c r="V983" s="73"/>
      <c r="W983" s="50"/>
      <c r="X983" s="50"/>
      <c r="AN983" s="50"/>
      <c r="AO983" s="50"/>
      <c r="AP983" s="50"/>
      <c r="AQ983" s="50"/>
      <c r="AR983" s="50"/>
      <c r="AS983" s="51"/>
      <c r="AT983" s="50"/>
      <c r="AU983" s="50"/>
      <c r="AV983" s="73"/>
      <c r="AW983" s="50"/>
      <c r="AX983" s="50"/>
    </row>
    <row r="984" spans="14:50" x14ac:dyDescent="0.3">
      <c r="N984" s="50"/>
      <c r="O984" s="50"/>
      <c r="P984" s="50"/>
      <c r="Q984" s="50"/>
      <c r="R984" s="50"/>
      <c r="S984" s="51"/>
      <c r="T984" s="50"/>
      <c r="U984" s="50"/>
      <c r="V984" s="73"/>
      <c r="W984" s="50"/>
      <c r="X984" s="50"/>
      <c r="AN984" s="50"/>
      <c r="AO984" s="50"/>
      <c r="AP984" s="50"/>
      <c r="AQ984" s="50"/>
      <c r="AR984" s="50"/>
      <c r="AS984" s="51"/>
      <c r="AT984" s="50"/>
      <c r="AU984" s="50"/>
      <c r="AV984" s="73"/>
      <c r="AW984" s="50"/>
      <c r="AX984" s="50"/>
    </row>
    <row r="985" spans="14:50" x14ac:dyDescent="0.3">
      <c r="N985" s="50"/>
      <c r="O985" s="50"/>
      <c r="P985" s="50"/>
      <c r="Q985" s="50"/>
      <c r="R985" s="50"/>
      <c r="S985" s="51"/>
      <c r="T985" s="50"/>
      <c r="U985" s="50"/>
      <c r="V985" s="73"/>
      <c r="W985" s="50"/>
      <c r="X985" s="50"/>
      <c r="AN985" s="50"/>
      <c r="AO985" s="50"/>
      <c r="AP985" s="50"/>
      <c r="AQ985" s="50"/>
      <c r="AR985" s="50"/>
      <c r="AS985" s="51"/>
      <c r="AT985" s="50"/>
      <c r="AU985" s="50"/>
      <c r="AV985" s="73"/>
      <c r="AW985" s="50"/>
      <c r="AX985" s="50"/>
    </row>
    <row r="986" spans="14:50" x14ac:dyDescent="0.3">
      <c r="N986" s="50"/>
      <c r="O986" s="50"/>
      <c r="P986" s="50"/>
      <c r="Q986" s="50"/>
      <c r="R986" s="50"/>
      <c r="S986" s="51"/>
      <c r="T986" s="50"/>
      <c r="U986" s="50"/>
      <c r="V986" s="73"/>
      <c r="W986" s="50"/>
      <c r="X986" s="50"/>
      <c r="AN986" s="50"/>
      <c r="AO986" s="50"/>
      <c r="AP986" s="50"/>
      <c r="AQ986" s="50"/>
      <c r="AR986" s="50"/>
      <c r="AS986" s="51"/>
      <c r="AT986" s="50"/>
      <c r="AU986" s="50"/>
      <c r="AV986" s="73"/>
      <c r="AW986" s="50"/>
      <c r="AX986" s="50"/>
    </row>
    <row r="987" spans="14:50" x14ac:dyDescent="0.3">
      <c r="N987" s="50"/>
      <c r="O987" s="50"/>
      <c r="P987" s="50"/>
      <c r="Q987" s="50"/>
      <c r="R987" s="50"/>
      <c r="S987" s="51"/>
      <c r="T987" s="50"/>
      <c r="U987" s="50"/>
      <c r="V987" s="73"/>
      <c r="W987" s="50"/>
      <c r="X987" s="50"/>
      <c r="AN987" s="50"/>
      <c r="AO987" s="50"/>
      <c r="AP987" s="50"/>
      <c r="AQ987" s="50"/>
      <c r="AR987" s="50"/>
      <c r="AS987" s="51"/>
      <c r="AT987" s="50"/>
      <c r="AU987" s="50"/>
      <c r="AV987" s="73"/>
      <c r="AW987" s="50"/>
      <c r="AX987" s="50"/>
    </row>
    <row r="988" spans="14:50" x14ac:dyDescent="0.3">
      <c r="N988" s="50"/>
      <c r="O988" s="50"/>
      <c r="P988" s="50"/>
      <c r="Q988" s="50"/>
      <c r="R988" s="50"/>
      <c r="S988" s="51"/>
      <c r="T988" s="50"/>
      <c r="U988" s="50"/>
      <c r="V988" s="73"/>
      <c r="W988" s="50"/>
      <c r="X988" s="50"/>
      <c r="AN988" s="50"/>
      <c r="AO988" s="50"/>
      <c r="AP988" s="50"/>
      <c r="AQ988" s="50"/>
      <c r="AR988" s="50"/>
      <c r="AS988" s="51"/>
      <c r="AT988" s="50"/>
      <c r="AU988" s="50"/>
      <c r="AV988" s="73"/>
      <c r="AW988" s="50"/>
      <c r="AX988" s="50"/>
    </row>
    <row r="989" spans="14:50" x14ac:dyDescent="0.3">
      <c r="N989" s="50"/>
      <c r="O989" s="50"/>
      <c r="P989" s="50"/>
      <c r="Q989" s="50"/>
      <c r="R989" s="50"/>
      <c r="S989" s="51"/>
      <c r="T989" s="50"/>
      <c r="U989" s="50"/>
      <c r="V989" s="73"/>
      <c r="W989" s="50"/>
      <c r="X989" s="50"/>
      <c r="AN989" s="50"/>
      <c r="AO989" s="50"/>
      <c r="AP989" s="50"/>
      <c r="AQ989" s="50"/>
      <c r="AR989" s="50"/>
      <c r="AS989" s="51"/>
      <c r="AT989" s="50"/>
      <c r="AU989" s="50"/>
      <c r="AV989" s="73"/>
      <c r="AW989" s="50"/>
      <c r="AX989" s="50"/>
    </row>
    <row r="990" spans="14:50" x14ac:dyDescent="0.3">
      <c r="N990" s="50"/>
      <c r="O990" s="50"/>
      <c r="P990" s="50"/>
      <c r="Q990" s="50"/>
      <c r="R990" s="50"/>
      <c r="S990" s="51"/>
      <c r="T990" s="50"/>
      <c r="U990" s="50"/>
      <c r="V990" s="73"/>
      <c r="W990" s="50"/>
      <c r="X990" s="50"/>
      <c r="AN990" s="50"/>
      <c r="AO990" s="50"/>
      <c r="AP990" s="50"/>
      <c r="AQ990" s="50"/>
      <c r="AR990" s="50"/>
      <c r="AS990" s="51"/>
      <c r="AT990" s="50"/>
      <c r="AU990" s="50"/>
      <c r="AV990" s="73"/>
      <c r="AW990" s="50"/>
      <c r="AX990" s="50"/>
    </row>
    <row r="991" spans="14:50" x14ac:dyDescent="0.3">
      <c r="N991" s="50"/>
      <c r="O991" s="50"/>
      <c r="P991" s="50"/>
      <c r="Q991" s="50"/>
      <c r="R991" s="50"/>
      <c r="S991" s="51"/>
      <c r="T991" s="50"/>
      <c r="U991" s="50"/>
      <c r="V991" s="73"/>
      <c r="W991" s="50"/>
      <c r="X991" s="50"/>
      <c r="AN991" s="50"/>
      <c r="AO991" s="50"/>
      <c r="AP991" s="50"/>
      <c r="AQ991" s="50"/>
      <c r="AR991" s="50"/>
      <c r="AS991" s="51"/>
      <c r="AT991" s="50"/>
      <c r="AU991" s="50"/>
      <c r="AV991" s="73"/>
      <c r="AW991" s="50"/>
      <c r="AX991" s="50"/>
    </row>
    <row r="992" spans="14:50" x14ac:dyDescent="0.3">
      <c r="N992" s="50"/>
      <c r="O992" s="50"/>
      <c r="P992" s="50"/>
      <c r="Q992" s="50"/>
      <c r="R992" s="50"/>
      <c r="S992" s="51"/>
      <c r="T992" s="50"/>
      <c r="U992" s="50"/>
      <c r="V992" s="73"/>
      <c r="W992" s="50"/>
      <c r="X992" s="50"/>
      <c r="AN992" s="50"/>
      <c r="AO992" s="50"/>
      <c r="AP992" s="50"/>
      <c r="AQ992" s="50"/>
      <c r="AR992" s="50"/>
      <c r="AS992" s="51"/>
      <c r="AT992" s="50"/>
      <c r="AU992" s="50"/>
      <c r="AV992" s="73"/>
      <c r="AW992" s="50"/>
      <c r="AX992" s="50"/>
    </row>
    <row r="993" spans="14:50" x14ac:dyDescent="0.3">
      <c r="N993" s="50"/>
      <c r="O993" s="50"/>
      <c r="P993" s="50"/>
      <c r="Q993" s="50"/>
      <c r="R993" s="50"/>
      <c r="S993" s="51"/>
      <c r="T993" s="50"/>
      <c r="U993" s="50"/>
      <c r="V993" s="73"/>
      <c r="W993" s="50"/>
      <c r="X993" s="50"/>
      <c r="AN993" s="50"/>
      <c r="AO993" s="50"/>
      <c r="AP993" s="50"/>
      <c r="AQ993" s="50"/>
      <c r="AR993" s="50"/>
      <c r="AS993" s="51"/>
      <c r="AT993" s="50"/>
      <c r="AU993" s="50"/>
      <c r="AV993" s="73"/>
      <c r="AW993" s="50"/>
      <c r="AX993" s="50"/>
    </row>
    <row r="994" spans="14:50" x14ac:dyDescent="0.3">
      <c r="N994" s="50"/>
      <c r="O994" s="50"/>
      <c r="P994" s="50"/>
      <c r="Q994" s="50"/>
      <c r="R994" s="50"/>
      <c r="S994" s="51"/>
      <c r="T994" s="50"/>
      <c r="U994" s="50"/>
      <c r="V994" s="73"/>
      <c r="W994" s="50"/>
      <c r="X994" s="50"/>
      <c r="AN994" s="50"/>
      <c r="AO994" s="50"/>
      <c r="AP994" s="50"/>
      <c r="AQ994" s="50"/>
      <c r="AR994" s="50"/>
      <c r="AS994" s="51"/>
      <c r="AT994" s="50"/>
      <c r="AU994" s="50"/>
      <c r="AV994" s="73"/>
      <c r="AW994" s="50"/>
      <c r="AX994" s="50"/>
    </row>
    <row r="995" spans="14:50" x14ac:dyDescent="0.3">
      <c r="N995" s="50"/>
      <c r="O995" s="50"/>
      <c r="P995" s="50"/>
      <c r="Q995" s="50"/>
      <c r="R995" s="50"/>
      <c r="S995" s="51"/>
      <c r="T995" s="50"/>
      <c r="U995" s="50"/>
      <c r="V995" s="73"/>
      <c r="W995" s="50"/>
      <c r="X995" s="50"/>
      <c r="AN995" s="50"/>
      <c r="AO995" s="50"/>
      <c r="AP995" s="50"/>
      <c r="AQ995" s="50"/>
      <c r="AR995" s="50"/>
      <c r="AS995" s="51"/>
      <c r="AT995" s="50"/>
      <c r="AU995" s="50"/>
      <c r="AV995" s="73"/>
      <c r="AW995" s="50"/>
      <c r="AX995" s="50"/>
    </row>
    <row r="996" spans="14:50" x14ac:dyDescent="0.3">
      <c r="N996" s="50"/>
      <c r="O996" s="50"/>
      <c r="P996" s="50"/>
      <c r="Q996" s="50"/>
      <c r="R996" s="50"/>
      <c r="S996" s="51"/>
      <c r="T996" s="50"/>
      <c r="U996" s="50"/>
      <c r="V996" s="73"/>
      <c r="W996" s="50"/>
      <c r="X996" s="50"/>
      <c r="AN996" s="50"/>
      <c r="AO996" s="50"/>
      <c r="AP996" s="50"/>
      <c r="AQ996" s="50"/>
      <c r="AR996" s="50"/>
      <c r="AS996" s="51"/>
      <c r="AT996" s="50"/>
      <c r="AU996" s="50"/>
      <c r="AV996" s="73"/>
      <c r="AW996" s="50"/>
      <c r="AX996" s="50"/>
    </row>
    <row r="997" spans="14:50" x14ac:dyDescent="0.3">
      <c r="N997" s="50"/>
      <c r="O997" s="50"/>
      <c r="P997" s="50"/>
      <c r="Q997" s="50"/>
      <c r="R997" s="50"/>
      <c r="S997" s="51"/>
      <c r="T997" s="50"/>
      <c r="U997" s="50"/>
      <c r="V997" s="73"/>
      <c r="W997" s="50"/>
      <c r="X997" s="50"/>
      <c r="AN997" s="50"/>
      <c r="AO997" s="50"/>
      <c r="AP997" s="50"/>
      <c r="AQ997" s="50"/>
      <c r="AR997" s="50"/>
      <c r="AS997" s="51"/>
      <c r="AT997" s="50"/>
      <c r="AU997" s="50"/>
      <c r="AV997" s="73"/>
      <c r="AW997" s="50"/>
      <c r="AX997" s="50"/>
    </row>
    <row r="998" spans="14:50" x14ac:dyDescent="0.3">
      <c r="N998" s="50"/>
      <c r="O998" s="50"/>
      <c r="P998" s="50"/>
      <c r="Q998" s="50"/>
      <c r="R998" s="50"/>
      <c r="S998" s="51"/>
      <c r="T998" s="50"/>
      <c r="U998" s="50"/>
      <c r="V998" s="73"/>
      <c r="W998" s="50"/>
      <c r="X998" s="50"/>
      <c r="AN998" s="50"/>
      <c r="AO998" s="50"/>
      <c r="AP998" s="50"/>
      <c r="AQ998" s="50"/>
      <c r="AR998" s="50"/>
      <c r="AS998" s="51"/>
      <c r="AT998" s="50"/>
      <c r="AU998" s="50"/>
      <c r="AV998" s="73"/>
      <c r="AW998" s="50"/>
      <c r="AX998" s="50"/>
    </row>
    <row r="999" spans="14:50" x14ac:dyDescent="0.3">
      <c r="N999" s="50"/>
      <c r="O999" s="50"/>
      <c r="P999" s="50"/>
      <c r="Q999" s="50"/>
      <c r="R999" s="50"/>
      <c r="S999" s="51"/>
      <c r="T999" s="50"/>
      <c r="U999" s="50"/>
      <c r="V999" s="73"/>
      <c r="W999" s="50"/>
      <c r="X999" s="50"/>
      <c r="AN999" s="50"/>
      <c r="AO999" s="50"/>
      <c r="AP999" s="50"/>
      <c r="AQ999" s="50"/>
      <c r="AR999" s="50"/>
      <c r="AS999" s="51"/>
      <c r="AT999" s="50"/>
      <c r="AU999" s="50"/>
      <c r="AV999" s="73"/>
      <c r="AW999" s="50"/>
      <c r="AX999" s="50"/>
    </row>
    <row r="1000" spans="14:50" x14ac:dyDescent="0.3">
      <c r="N1000" s="50"/>
      <c r="O1000" s="50"/>
      <c r="P1000" s="50"/>
      <c r="Q1000" s="50"/>
      <c r="R1000" s="50"/>
      <c r="S1000" s="51"/>
      <c r="T1000" s="50"/>
      <c r="U1000" s="50"/>
      <c r="V1000" s="73"/>
      <c r="W1000" s="50"/>
      <c r="X1000" s="50"/>
      <c r="AN1000" s="50"/>
      <c r="AO1000" s="50"/>
      <c r="AP1000" s="50"/>
      <c r="AQ1000" s="50"/>
      <c r="AR1000" s="50"/>
      <c r="AS1000" s="51"/>
      <c r="AT1000" s="50"/>
      <c r="AU1000" s="50"/>
      <c r="AV1000" s="73"/>
      <c r="AW1000" s="50"/>
      <c r="AX1000" s="50"/>
    </row>
    <row r="1001" spans="14:50" x14ac:dyDescent="0.3">
      <c r="N1001" s="50"/>
      <c r="O1001" s="50"/>
      <c r="P1001" s="50"/>
      <c r="Q1001" s="50"/>
      <c r="R1001" s="50"/>
      <c r="S1001" s="51"/>
      <c r="T1001" s="50"/>
      <c r="U1001" s="50"/>
      <c r="V1001" s="73"/>
      <c r="W1001" s="50"/>
      <c r="X1001" s="50"/>
      <c r="AN1001" s="50"/>
      <c r="AO1001" s="50"/>
      <c r="AP1001" s="50"/>
      <c r="AQ1001" s="50"/>
      <c r="AR1001" s="50"/>
      <c r="AS1001" s="51"/>
      <c r="AT1001" s="50"/>
      <c r="AU1001" s="50"/>
      <c r="AV1001" s="73"/>
      <c r="AW1001" s="50"/>
      <c r="AX1001" s="50"/>
    </row>
    <row r="1002" spans="14:50" x14ac:dyDescent="0.3">
      <c r="N1002" s="50"/>
      <c r="O1002" s="50"/>
      <c r="P1002" s="50"/>
      <c r="Q1002" s="50"/>
      <c r="R1002" s="50"/>
      <c r="S1002" s="51"/>
      <c r="T1002" s="50"/>
      <c r="U1002" s="50"/>
      <c r="V1002" s="73"/>
      <c r="W1002" s="50"/>
      <c r="X1002" s="50"/>
      <c r="AN1002" s="50"/>
      <c r="AO1002" s="50"/>
      <c r="AP1002" s="50"/>
      <c r="AQ1002" s="50"/>
      <c r="AR1002" s="50"/>
      <c r="AS1002" s="51"/>
      <c r="AT1002" s="50"/>
      <c r="AU1002" s="50"/>
      <c r="AV1002" s="73"/>
      <c r="AW1002" s="50"/>
      <c r="AX1002" s="50"/>
    </row>
  </sheetData>
  <mergeCells count="6">
    <mergeCell ref="BA2:BC2"/>
    <mergeCell ref="N1:X1"/>
    <mergeCell ref="D2:F2"/>
    <mergeCell ref="G2:I2"/>
    <mergeCell ref="D1:I1"/>
    <mergeCell ref="AN1:AX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"/>
  <sheetViews>
    <sheetView tabSelected="1" workbookViewId="0">
      <selection activeCell="F16" sqref="F16"/>
    </sheetView>
  </sheetViews>
  <sheetFormatPr baseColWidth="10" defaultColWidth="8.88671875" defaultRowHeight="14.4" x14ac:dyDescent="0.3"/>
  <cols>
    <col min="1" max="1" width="14.5546875" customWidth="1"/>
    <col min="2" max="2" width="11.6640625" customWidth="1"/>
  </cols>
  <sheetData>
    <row r="1" spans="1:3" x14ac:dyDescent="0.3">
      <c r="A1" t="s">
        <v>48</v>
      </c>
      <c r="B1" t="s">
        <v>49</v>
      </c>
      <c r="C1" t="s">
        <v>50</v>
      </c>
    </row>
    <row r="2" spans="1:3" x14ac:dyDescent="0.3">
      <c r="A2">
        <f ca="1">Model!L3</f>
        <v>54.319828617685474</v>
      </c>
      <c r="B2">
        <f ca="1">Model!K3</f>
        <v>10.127459357461085</v>
      </c>
      <c r="C2" t="s">
        <v>53</v>
      </c>
    </row>
    <row r="3" spans="1:3" x14ac:dyDescent="0.3">
      <c r="A3">
        <f ca="1">VLOOKUP("1",Model!$O$3:$S$23,5,FALSE)</f>
        <v>54.317880243641483</v>
      </c>
      <c r="B3">
        <f ca="1">VLOOKUP("1",Model!$O$3:$S$23,4,FALSE)</f>
        <v>10.119097014988983</v>
      </c>
      <c r="C3" t="s">
        <v>47</v>
      </c>
    </row>
    <row r="4" spans="1:3" x14ac:dyDescent="0.3">
      <c r="A4">
        <f ca="1">VLOOKUP("2",Model!$P$3:$S$23,4,FALSE)</f>
        <v>54.324178035052491</v>
      </c>
      <c r="B4">
        <f ca="1">VLOOKUP("2",Model!$P$3:$S$23,3,FALSE)</f>
        <v>10.121672953038722</v>
      </c>
      <c r="C4" t="s">
        <v>47</v>
      </c>
    </row>
    <row r="5" spans="1:3" x14ac:dyDescent="0.3">
      <c r="A5">
        <f ca="1">VLOOKUP("3",Model!$Q$3:$S$23,3,FALSE)</f>
        <v>54.325610164258308</v>
      </c>
      <c r="B5">
        <f ca="1">VLOOKUP("3",Model!$Q$3:$S$23,2,FALSE)</f>
        <v>10.117957030625529</v>
      </c>
      <c r="C5" t="s">
        <v>47</v>
      </c>
    </row>
    <row r="6" spans="1:3" x14ac:dyDescent="0.3">
      <c r="A6">
        <f ca="1">VLOOKUP("1",Model!$Z$3:$AB$4,2,FALSE)</f>
        <v>54.315931999999997</v>
      </c>
      <c r="B6">
        <f ca="1">VLOOKUP("1",Model!$Z$3:$AB$4,3,FALSE)</f>
        <v>10.133182</v>
      </c>
      <c r="C6" t="s">
        <v>51</v>
      </c>
    </row>
    <row r="7" spans="1:3" x14ac:dyDescent="0.3">
      <c r="A7">
        <f ca="1">VLOOKUP("1",Model!$AF$3:$AI$24,3,FALSE)</f>
        <v>54.323089000000003</v>
      </c>
      <c r="B7">
        <f ca="1">VLOOKUP("1",Model!$AF$3:$AI$24,4,FALSE)</f>
        <v>10.133305</v>
      </c>
      <c r="C7" t="s">
        <v>52</v>
      </c>
    </row>
    <row r="8" spans="1:3" x14ac:dyDescent="0.3">
      <c r="A8">
        <f ca="1">VLOOKUP("2",Model!$AG$3:$AI$24,2,FALSE)</f>
        <v>54.315857000000001</v>
      </c>
      <c r="B8">
        <f ca="1">VLOOKUP("2",Model!$AG$3:$AI$24,3,FALSE)</f>
        <v>10.124980000000001</v>
      </c>
      <c r="C8" t="s">
        <v>52</v>
      </c>
    </row>
    <row r="9" spans="1:3" x14ac:dyDescent="0.3">
      <c r="A9">
        <f ca="1">VLOOKUP("1",Model!$AO$3:$AS$52,5,FALSE)</f>
        <v>54.319069866993509</v>
      </c>
      <c r="B9">
        <f ca="1">VLOOKUP("1",Model!$AO$3:$AS$52,4,FALSE)</f>
        <v>10.125383795083248</v>
      </c>
      <c r="C9" t="s">
        <v>65</v>
      </c>
    </row>
    <row r="10" spans="1:3" x14ac:dyDescent="0.3">
      <c r="A10">
        <f ca="1">VLOOKUP("2",Model!$AP$3:$AS$52,4,FALSE)</f>
        <v>54.317189662650854</v>
      </c>
      <c r="B10">
        <f ca="1">VLOOKUP("2",Model!$AP$3:$AS$52,3,FALSE)</f>
        <v>10.127198008967161</v>
      </c>
      <c r="C10" t="s">
        <v>65</v>
      </c>
    </row>
    <row r="11" spans="1:3" x14ac:dyDescent="0.3">
      <c r="A11">
        <f ca="1">VLOOKUP("3",Model!$AQ$3:$AS$52,3,FALSE)</f>
        <v>54.323029772889264</v>
      </c>
      <c r="B11">
        <f ca="1">VLOOKUP("3",Model!$AQ$3:$AS$52,2,FALSE)</f>
        <v>10.130233681654595</v>
      </c>
      <c r="C11" t="s">
        <v>65</v>
      </c>
    </row>
    <row r="12" spans="1:3" x14ac:dyDescent="0.3">
      <c r="A12">
        <f ca="1">VLOOKUP("1",Model!$AZ$4:$BC$5,3,FALSE)</f>
        <v>54.316555999999999</v>
      </c>
      <c r="B12">
        <f ca="1">VLOOKUP("1",Model!$AZ$4:$BC$5,2,FALSE)</f>
        <v>10.124955999999999</v>
      </c>
      <c r="C12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Model</vt:lpstr>
      <vt:lpstr>Export</vt:lpstr>
    </vt:vector>
  </TitlesOfParts>
  <Company>Ernst &amp; Young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Kleehaus</dc:creator>
  <cp:lastModifiedBy>Patrick Schäfer</cp:lastModifiedBy>
  <dcterms:created xsi:type="dcterms:W3CDTF">2018-08-30T16:00:39Z</dcterms:created>
  <dcterms:modified xsi:type="dcterms:W3CDTF">2018-09-14T20:03:27Z</dcterms:modified>
</cp:coreProperties>
</file>